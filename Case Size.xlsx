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ee11846ce882123f/Desktop/hem-catalogue-app_final-1/hem-catalogue-app-1/"/>
    </mc:Choice>
  </mc:AlternateContent>
  <xr:revisionPtr revIDLastSave="1" documentId="13_ncr:1_{A8AAAD60-69E8-4262-8E76-0BDF9841794C}" xr6:coauthVersionLast="47" xr6:coauthVersionMax="47" xr10:uidLastSave="{40000671-B39B-4837-B19C-59590E020029}"/>
  <bookViews>
    <workbookView xWindow="-110" yWindow="-110" windowWidth="19420" windowHeight="11500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Sheet1!$A$1:$J$76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G8" i="1"/>
  <c r="J74" i="1"/>
  <c r="J73" i="1"/>
  <c r="J69" i="1"/>
  <c r="J67" i="1"/>
  <c r="J65" i="1"/>
  <c r="J48" i="1"/>
  <c r="J47" i="1"/>
  <c r="J35" i="1"/>
  <c r="J34" i="1"/>
  <c r="J26" i="1"/>
  <c r="J24" i="1"/>
  <c r="J19" i="1"/>
  <c r="J18" i="1"/>
</calcChain>
</file>

<file path=xl/sharedStrings.xml><?xml version="1.0" encoding="utf-8"?>
<sst xmlns="http://schemas.openxmlformats.org/spreadsheetml/2006/main" count="292" uniqueCount="189">
  <si>
    <t>Description</t>
  </si>
  <si>
    <t>Packing per Master Ctn in doz/ box</t>
  </si>
  <si>
    <t>Gross Wt. Kg</t>
  </si>
  <si>
    <t>Net Wt. Kg</t>
  </si>
  <si>
    <t>Length Cm</t>
  </si>
  <si>
    <t>Breadth Cm</t>
  </si>
  <si>
    <t>Height Cm</t>
  </si>
  <si>
    <t>CBM</t>
  </si>
  <si>
    <t>HEXA</t>
  </si>
  <si>
    <t>20 Sticks in a packet, 6 packet in a box,                                        2 boxes make 1 Dozen, 25 dozen in 1 master carton</t>
  </si>
  <si>
    <t>25 Doz</t>
  </si>
  <si>
    <t>TALL HEXA</t>
  </si>
  <si>
    <t>10 Sticks in a packet, 6 packets in a box, 2 boxes make 1 Dozen</t>
  </si>
  <si>
    <t>12 doz</t>
  </si>
  <si>
    <t>PREMIUM MASALA INCENSE HEXA</t>
  </si>
  <si>
    <t>15 Sticks in a packet, 6 packet in a box,  2 boxes make 1 Dozen</t>
  </si>
  <si>
    <t>MASALA 15 GMS</t>
  </si>
  <si>
    <t>15 Grams in a packet,  12 Packs (1 dozen) in a box, 288 Packs (24 dozen) in a master carton</t>
  </si>
  <si>
    <t>24 Doz</t>
  </si>
  <si>
    <t>0.060</t>
  </si>
  <si>
    <t>NEW AGE MASALA            15 GMS</t>
  </si>
  <si>
    <t>15 Grams in a packet, 12 Packs (1 dozen) in a box, 288 Packs (24 dozen) in a master carton</t>
  </si>
  <si>
    <t>UNIVERSAL MASALA GIFT PACK</t>
  </si>
  <si>
    <t>15 gm in a packet, 6 assorated packets in one gift set, 48 gift set in one master carton.</t>
  </si>
  <si>
    <t>48 Pcs</t>
  </si>
  <si>
    <t xml:space="preserve">NATURE MASALA GIFT PACK </t>
  </si>
  <si>
    <t>SMUDGING INDULGENCE MASALA GIFT PACK(Palo Santo premium Incense blends &amp; Chakras Energy Balancing Bracele)</t>
  </si>
  <si>
    <t xml:space="preserve">5 packs of blends with 1 Bracelet. Each pack consist 15 sticks.                                                Assortment consist of Palo Santo Sandal, Palo Santo Aruda, Palo Santo Cinnamon, Palo Santo Myrrh, Palo Santo Rose. </t>
  </si>
  <si>
    <t>5 Hexa Packet in an outer packet</t>
  </si>
  <si>
    <t>56 pcs</t>
  </si>
  <si>
    <t>54.000</t>
  </si>
  <si>
    <t>33.500</t>
  </si>
  <si>
    <t>48.000</t>
  </si>
  <si>
    <t>0.087</t>
  </si>
  <si>
    <t>6 Packet in an outer packet</t>
  </si>
  <si>
    <t>48 pcs</t>
  </si>
  <si>
    <t>3 Packet in an outer packet</t>
  </si>
  <si>
    <t>7 CHAKRA HEXA GIFT PACK</t>
  </si>
  <si>
    <t>7 Packet in an outer packet</t>
  </si>
  <si>
    <t>WHITE SAGE CLEANSING COLLECTION GIFT PACK</t>
  </si>
  <si>
    <t>6 assorated packets in one gift box, such 48 boxes packed inside master carton.</t>
  </si>
  <si>
    <t>48 sets</t>
  </si>
  <si>
    <t>YOG CHAKRA GIFT PACK</t>
  </si>
  <si>
    <t>Gift Pack Contain single pc of Yog Chakra 100ml room freshener, 
15gm Masala incense stick,
 Yog Chakra cone &amp;
 Wooden incense holder</t>
  </si>
  <si>
    <t>3 Doz</t>
  </si>
  <si>
    <t>SQUARE</t>
  </si>
  <si>
    <t>8 Sticks in a packet,25 packet in a box</t>
  </si>
  <si>
    <t>50 Box</t>
  </si>
  <si>
    <t>SQUARE FLORA</t>
  </si>
  <si>
    <t>8 sticks in a packet,  25 packets in a box,  36 boxes in a master carton.</t>
  </si>
  <si>
    <t>36 Box</t>
  </si>
  <si>
    <t>SQUARE GIFT PACK</t>
  </si>
  <si>
    <t>6 Square packets in a Gift Pack</t>
  </si>
  <si>
    <t>120 pcs</t>
  </si>
  <si>
    <t>CONE</t>
  </si>
  <si>
    <t>10 Cones in a packet,12 Packets in box</t>
  </si>
  <si>
    <t>30 Doz</t>
  </si>
  <si>
    <t>4 Dozen in a box,6 box in Master Carton</t>
  </si>
  <si>
    <t>6 box</t>
  </si>
  <si>
    <t>MASALA CONES</t>
  </si>
  <si>
    <t>BACK FLOW CONES</t>
  </si>
  <si>
    <t>40 cones in one Pack 12 Packet in one box 6 Box in one master Carton</t>
  </si>
  <si>
    <t>6 Doz</t>
  </si>
  <si>
    <t>7 CHAKRA JUMBO BACK FLOW CONE</t>
  </si>
  <si>
    <t>20 Jumbo Cones in one Pack, 12 Packet in one box, 6 Box in one master Carton</t>
  </si>
  <si>
    <t>BACKFLOW CONE BURNER GIFT SET     Design Name:
1)Plate Fountain
2)Wall Fountain
3)OM</t>
  </si>
  <si>
    <t>1 pack contain 1pcs of holder &amp; 10 pcs of cones.
12 pcs in 1 Master Carton</t>
  </si>
  <si>
    <t>1 doz</t>
  </si>
  <si>
    <t>7 CHAKRA STONE</t>
  </si>
  <si>
    <t>7 Diffrenet types of Stones in one pack.
12 packs in 1 Outer Carton
6 Outer Cartons in one Master Carton</t>
  </si>
  <si>
    <t>6 doz</t>
  </si>
  <si>
    <t>7 SERIES POUCH</t>
  </si>
  <si>
    <t>5 Stick in a pouch,7 pouch in inner box,12 inner box in a outer box</t>
  </si>
  <si>
    <t>12 Doz</t>
  </si>
  <si>
    <t>POP TALL 25 GMS</t>
  </si>
  <si>
    <t>25 gm in a packet, 12 packets in 1 dozen                                 24 dozen in master carton</t>
  </si>
  <si>
    <t>TALL ECONOMY 100 GMS</t>
  </si>
  <si>
    <t>100 GMS in a packet, 6 packets in a box</t>
  </si>
  <si>
    <t>ECONOMY 100 STICK</t>
  </si>
  <si>
    <t>100 stick in a packet,12 packets in a box(1 dozen)</t>
  </si>
  <si>
    <t>100 GM MASALA PACK</t>
  </si>
  <si>
    <t xml:space="preserve">100 gm in a packet, 12 packet in 1 dozen,        24 dozen in 1 master carton </t>
  </si>
  <si>
    <t>DHOOP</t>
  </si>
  <si>
    <t>60 GMS in a packet,12 packet in a box</t>
  </si>
  <si>
    <t>14 stick in a pacekt,12 packet in a box</t>
  </si>
  <si>
    <t>48 Doz</t>
  </si>
  <si>
    <t>AROMA OIL</t>
  </si>
  <si>
    <t>1 bootle of 10 ML , 12 (1 doz) x 10 ml bottle in 1 box, 144 (12 doz) x 10 ml bottle in 1 Master carton</t>
  </si>
  <si>
    <t>REED DIFFUSER 40 ML</t>
  </si>
  <si>
    <t>1 Set Contains - 40 ml Diffuser Oil,
Ceramic Pot, 6 nos of Reed Sticks, 24  set/ pack in 1 Carton</t>
  </si>
  <si>
    <t>24 SET</t>
  </si>
  <si>
    <t>REED DIFFUSER 100 ML</t>
  </si>
  <si>
    <t>1 Set Contains - 100 ml Diffuser Oil, Ceramic Pot, 8 nos of Reed Sticks, 12 set/ pack in 1 Carton</t>
  </si>
  <si>
    <t>12 pcs</t>
  </si>
  <si>
    <t>PRECIOUS  SOAPS</t>
  </si>
  <si>
    <t>100 GMS</t>
  </si>
  <si>
    <t>96 Pcs</t>
  </si>
  <si>
    <t>RESIN</t>
  </si>
  <si>
    <t>30 GMS in a packet,1 dozen in a box</t>
  </si>
  <si>
    <t>RESIN CUP DHOOP COLLECTION</t>
  </si>
  <si>
    <t>48 pack contaning 10 pcs of Cup Dhoop each</t>
  </si>
  <si>
    <t>48 Box</t>
  </si>
  <si>
    <t>CAR FRESHNER</t>
  </si>
  <si>
    <t xml:space="preserve">12 pcs packed inside the display box.
8 display box packed inside master carton </t>
  </si>
  <si>
    <t>8 Doz</t>
  </si>
  <si>
    <t xml:space="preserve">SACRED ELEMENT SPRAY &amp; YOG CHAKRA SPRAY </t>
  </si>
  <si>
    <t>100 ML Bottle, 72 Bottles in Master Carton</t>
  </si>
  <si>
    <t>SMUDGE TIN CANDLE      90 GMS</t>
  </si>
  <si>
    <t>90 gm scented tin smudge candle, wrapped with label sticker. Such 72 pcs packed inside master carton.</t>
  </si>
  <si>
    <t>GLASS JAR SMUDGE CANDLE 185 GMS</t>
  </si>
  <si>
    <t>185 gm scented tin smudge candle, wrapped with label sticker. Such 24 pcs packed inside master carton.</t>
  </si>
  <si>
    <t>2 Doz</t>
  </si>
  <si>
    <t>SMUDGE TEA LIGHT FRAGRANCE CANDLE</t>
  </si>
  <si>
    <t>1 pack Contain - 10 pcs of Tea light Candles, 12 pcs packed in 1 Outer Carton, 6 Outer Cartons in 1 Master Carton</t>
  </si>
  <si>
    <t>7 CHAKRA SMUDGE TEA LIGHT FRAGRANCE CANDLE</t>
  </si>
  <si>
    <t>1 pack Contain -7 pcs of Tea light Candles, 12 pcs packed in 1 Outer Carton, 6 Outer Cartons in 1 Master Carton</t>
  </si>
  <si>
    <t>HEXA TABLE TOP DISPLAY</t>
  </si>
  <si>
    <t>60 asst hexa in one display, 4 displays in master carton</t>
  </si>
  <si>
    <t>20 Doz</t>
  </si>
  <si>
    <t>SQUARE TABLE TOP</t>
  </si>
  <si>
    <t>25 inners of 9 variants in one display. 4 displays in master carton</t>
  </si>
  <si>
    <t>75 Doz</t>
  </si>
  <si>
    <t>AROMA OIL RETAIL READY SET</t>
  </si>
  <si>
    <t>4 displays in master carton</t>
  </si>
  <si>
    <t>4 Display</t>
  </si>
  <si>
    <t>CONES RETAIL READY DISPLAY</t>
  </si>
  <si>
    <t>Category</t>
  </si>
  <si>
    <t>HEXA 25 Doz</t>
  </si>
  <si>
    <t>HEXA 24 Doz</t>
  </si>
  <si>
    <t>HEXA 20 Doz</t>
  </si>
  <si>
    <t>HEXA 12 Doz</t>
  </si>
  <si>
    <t>HEXA 6 Doz</t>
  </si>
  <si>
    <t>Tall Hexa 10 Doz</t>
  </si>
  <si>
    <t>Tall Hexa 6 Doz</t>
  </si>
  <si>
    <t>Tall Hexa 12 doz</t>
  </si>
  <si>
    <t>Masala 15 Gm 24 Doz</t>
  </si>
  <si>
    <t>Masala 15 Gm 50 Doz (OP)</t>
  </si>
  <si>
    <t>Masala 15 Gm 6 Doz</t>
  </si>
  <si>
    <t>Masala 15 Gm 288 Pcs</t>
  </si>
  <si>
    <t>Masala 15 Gm 30 Doz</t>
  </si>
  <si>
    <t>Masala 15 Gm 40 Doz</t>
  </si>
  <si>
    <t xml:space="preserve"> HEXA GIFT PACK</t>
  </si>
  <si>
    <t>Square 48 Box (OP)</t>
  </si>
  <si>
    <t>Square 70 Box (OP)</t>
  </si>
  <si>
    <t>Square 36 Box</t>
  </si>
  <si>
    <t>Square 50 Box</t>
  </si>
  <si>
    <t>Square 25 Box</t>
  </si>
  <si>
    <t>Square 24 Box</t>
  </si>
  <si>
    <t>Cone 30 Dz Asrt</t>
  </si>
  <si>
    <t>Cone 10 KG</t>
  </si>
  <si>
    <t>Cone 360 Pcs</t>
  </si>
  <si>
    <t>Cone 24 Doz (Asrt 4 Dz)</t>
  </si>
  <si>
    <t>Cone 30 Doz</t>
  </si>
  <si>
    <t>BACK FLOW CONES 6 Doz</t>
  </si>
  <si>
    <t>BACK FLOW CONES 72 Pcs</t>
  </si>
  <si>
    <t>BACK FLOW CONES 24 Doz</t>
  </si>
  <si>
    <t>Pop Tall 24 Doz</t>
  </si>
  <si>
    <t>Pop Tall 48 Doz</t>
  </si>
  <si>
    <t>Pop Tall 10 Doz</t>
  </si>
  <si>
    <t>21 Sticks in a packet, 6 packet in a box,                                        2 boxes make 1 Dozen, 25 dozen in 1 master carton</t>
  </si>
  <si>
    <t>22 Sticks in a packet, 6 packet in a box,                                        2 boxes make 1 Dozen, 25 dozen in 1 master carton</t>
  </si>
  <si>
    <t>23 Sticks in a packet, 6 packet in a box,                                        2 boxes make 1 Dozen, 25 dozen in 1 master carton</t>
  </si>
  <si>
    <t>24 Sticks in a packet, 6 packet in a box,                                        2 boxes make 1 Dozen, 25 dozen in 1 master carton</t>
  </si>
  <si>
    <t>11 Sticks in a packet, 6 packets in a box, 2 boxes make 1 Dozen</t>
  </si>
  <si>
    <t>12 Sticks in a packet, 6 packets in a box, 2 boxes make 1 Dozen</t>
  </si>
  <si>
    <t>16 Grams in a packet,  12 Packs (1 dozen) in a box, 288 Packs (24 dozen) in a master carton</t>
  </si>
  <si>
    <t>17 Grams in a packet,  12 Packs (1 dozen) in a box, 288 Packs (24 dozen) in a master carton</t>
  </si>
  <si>
    <t>18 Grams in a packet,  12 Packs (1 dozen) in a box, 288 Packs (24 dozen) in a master carton</t>
  </si>
  <si>
    <t>19 Grams in a packet,  12 Packs (1 dozen) in a box, 288 Packs (24 dozen) in a master carton</t>
  </si>
  <si>
    <t>20 Grams in a packet,  12 Packs (1 dozen) in a box, 288 Packs (24 dozen) in a master carton</t>
  </si>
  <si>
    <t>Carton Suffix</t>
  </si>
  <si>
    <t>10 Doz</t>
  </si>
  <si>
    <t>288 Pcs</t>
  </si>
  <si>
    <t>40 Doz</t>
  </si>
  <si>
    <t>50 Doz</t>
  </si>
  <si>
    <t>56 Pcs</t>
  </si>
  <si>
    <t>70 Box</t>
  </si>
  <si>
    <t>25 Box</t>
  </si>
  <si>
    <t>24 Box</t>
  </si>
  <si>
    <t>120 Pcs</t>
  </si>
  <si>
    <t>6 Box</t>
  </si>
  <si>
    <t>10 Kg</t>
  </si>
  <si>
    <t>360 Pcs</t>
  </si>
  <si>
    <t>4 Dz)</t>
  </si>
  <si>
    <t>72 Pcs</t>
  </si>
  <si>
    <t>1 Doz</t>
  </si>
  <si>
    <t>24 Set</t>
  </si>
  <si>
    <t>12 Pcs</t>
  </si>
  <si>
    <t>30 Dz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</si>
</sst>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#,##0.0"/>
    <numFmt numFmtId="166" formatCode="#,##0.000"/>
    <numFmt numFmtId="167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3" fillId="0" borderId="4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3" fillId="0" borderId="10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3" fillId="0" borderId="15" xfId="0" applyFont="1" applyBorder="1" applyAlignment="1">
      <alignment horizontal="left" vertical="top"/>
    </xf>
    <xf numFmtId="0" fontId="1" fillId="0" borderId="15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1" fillId="0" borderId="13" xfId="0" applyFont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4" fontId="1" fillId="0" borderId="4" xfId="0" applyNumberFormat="1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4" fontId="1" fillId="0" borderId="6" xfId="0" applyNumberFormat="1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4" fontId="1" fillId="0" borderId="10" xfId="0" applyNumberFormat="1" applyFont="1" applyBorder="1" applyAlignment="1">
      <alignment horizontal="left" vertical="top"/>
    </xf>
    <xf numFmtId="4" fontId="3" fillId="0" borderId="8" xfId="0" applyNumberFormat="1" applyFont="1" applyBorder="1" applyAlignment="1">
      <alignment horizontal="left" vertical="top"/>
    </xf>
    <xf numFmtId="4" fontId="1" fillId="0" borderId="15" xfId="0" applyNumberFormat="1" applyFont="1" applyBorder="1" applyAlignment="1">
      <alignment horizontal="left" vertical="top"/>
    </xf>
    <xf numFmtId="4" fontId="1" fillId="0" borderId="7" xfId="0" applyNumberFormat="1" applyFont="1" applyBorder="1" applyAlignment="1">
      <alignment horizontal="left" vertical="top"/>
    </xf>
    <xf numFmtId="4" fontId="1" fillId="0" borderId="11" xfId="0" applyNumberFormat="1" applyFont="1" applyBorder="1" applyAlignment="1">
      <alignment horizontal="left" vertical="top"/>
    </xf>
    <xf numFmtId="4" fontId="1" fillId="0" borderId="8" xfId="0" applyNumberFormat="1" applyFont="1" applyBorder="1" applyAlignment="1">
      <alignment horizontal="left" vertical="top"/>
    </xf>
    <xf numFmtId="2" fontId="2" fillId="2" borderId="1" xfId="0" applyNumberFormat="1" applyFont="1" applyFill="1" applyBorder="1" applyAlignment="1">
      <alignment horizontal="left" vertical="top" wrapText="1"/>
    </xf>
    <xf numFmtId="2" fontId="2" fillId="2" borderId="2" xfId="0" applyNumberFormat="1" applyFont="1" applyFill="1" applyBorder="1" applyAlignment="1">
      <alignment horizontal="left" vertical="top" wrapText="1"/>
    </xf>
    <xf numFmtId="164" fontId="2" fillId="2" borderId="1" xfId="0" applyNumberFormat="1" applyFont="1" applyFill="1" applyBorder="1" applyAlignment="1">
      <alignment horizontal="left" vertical="top" wrapText="1"/>
    </xf>
    <xf numFmtId="2" fontId="1" fillId="0" borderId="4" xfId="0" applyNumberFormat="1" applyFont="1" applyBorder="1" applyAlignment="1">
      <alignment horizontal="left" vertical="top"/>
    </xf>
    <xf numFmtId="164" fontId="1" fillId="0" borderId="4" xfId="0" applyNumberFormat="1" applyFont="1" applyBorder="1" applyAlignment="1">
      <alignment horizontal="left" vertical="top"/>
    </xf>
    <xf numFmtId="2" fontId="1" fillId="0" borderId="6" xfId="0" applyNumberFormat="1" applyFont="1" applyBorder="1" applyAlignment="1">
      <alignment horizontal="left" vertical="top"/>
    </xf>
    <xf numFmtId="2" fontId="1" fillId="0" borderId="7" xfId="0" applyNumberFormat="1" applyFont="1" applyBorder="1" applyAlignment="1">
      <alignment horizontal="left" vertical="top"/>
    </xf>
    <xf numFmtId="164" fontId="1" fillId="0" borderId="7" xfId="0" applyNumberFormat="1" applyFont="1" applyBorder="1" applyAlignment="1">
      <alignment horizontal="left" vertical="top"/>
    </xf>
    <xf numFmtId="2" fontId="1" fillId="0" borderId="8" xfId="0" applyNumberFormat="1" applyFont="1" applyBorder="1" applyAlignment="1">
      <alignment horizontal="left" vertical="top"/>
    </xf>
    <xf numFmtId="164" fontId="1" fillId="0" borderId="8" xfId="0" applyNumberFormat="1" applyFont="1" applyBorder="1" applyAlignment="1">
      <alignment horizontal="left" vertical="top"/>
    </xf>
    <xf numFmtId="2" fontId="1" fillId="0" borderId="10" xfId="0" applyNumberFormat="1" applyFont="1" applyBorder="1" applyAlignment="1">
      <alignment horizontal="left" vertical="top"/>
    </xf>
    <xf numFmtId="165" fontId="3" fillId="3" borderId="11" xfId="0" applyNumberFormat="1" applyFont="1" applyFill="1" applyBorder="1" applyAlignment="1">
      <alignment horizontal="left" vertical="top"/>
    </xf>
    <xf numFmtId="165" fontId="3" fillId="3" borderId="7" xfId="0" applyNumberFormat="1" applyFont="1" applyFill="1" applyBorder="1" applyAlignment="1">
      <alignment horizontal="left" vertical="top"/>
    </xf>
    <xf numFmtId="166" fontId="3" fillId="3" borderId="7" xfId="0" applyNumberFormat="1" applyFont="1" applyFill="1" applyBorder="1" applyAlignment="1">
      <alignment horizontal="left" vertical="top"/>
    </xf>
    <xf numFmtId="164" fontId="1" fillId="0" borderId="13" xfId="0" applyNumberFormat="1" applyFont="1" applyBorder="1" applyAlignment="1">
      <alignment horizontal="left" vertical="top"/>
    </xf>
    <xf numFmtId="2" fontId="1" fillId="0" borderId="15" xfId="0" applyNumberFormat="1" applyFont="1" applyBorder="1" applyAlignment="1">
      <alignment horizontal="left" vertical="top"/>
    </xf>
    <xf numFmtId="164" fontId="1" fillId="0" borderId="15" xfId="0" applyNumberFormat="1" applyFont="1" applyBorder="1" applyAlignment="1">
      <alignment horizontal="left" vertical="top"/>
    </xf>
    <xf numFmtId="2" fontId="3" fillId="0" borderId="6" xfId="0" applyNumberFormat="1" applyFont="1" applyBorder="1" applyAlignment="1">
      <alignment horizontal="left" vertical="top"/>
    </xf>
    <xf numFmtId="164" fontId="1" fillId="0" borderId="6" xfId="0" applyNumberFormat="1" applyFont="1" applyBorder="1" applyAlignment="1">
      <alignment horizontal="left" vertical="top"/>
    </xf>
    <xf numFmtId="2" fontId="1" fillId="0" borderId="11" xfId="0" applyNumberFormat="1" applyFont="1" applyBorder="1" applyAlignment="1">
      <alignment horizontal="left" vertical="top"/>
    </xf>
    <xf numFmtId="164" fontId="1" fillId="0" borderId="11" xfId="0" applyNumberFormat="1" applyFont="1" applyBorder="1" applyAlignment="1">
      <alignment horizontal="left" vertical="top"/>
    </xf>
    <xf numFmtId="166" fontId="3" fillId="0" borderId="4" xfId="0" applyNumberFormat="1" applyFont="1" applyBorder="1" applyAlignment="1">
      <alignment horizontal="left" vertical="top"/>
    </xf>
    <xf numFmtId="167" fontId="1" fillId="0" borderId="4" xfId="0" applyNumberFormat="1" applyFont="1" applyBorder="1" applyAlignment="1">
      <alignment horizontal="left" vertical="top"/>
    </xf>
    <xf numFmtId="1" fontId="1" fillId="0" borderId="4" xfId="0" applyNumberFormat="1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164" fontId="1" fillId="0" borderId="10" xfId="0" applyNumberFormat="1" applyFont="1" applyBorder="1" applyAlignment="1">
      <alignment horizontal="left" vertical="top"/>
    </xf>
    <xf numFmtId="0" fontId="0" fillId="0" borderId="7" xfId="0" applyBorder="1"/>
    <xf numFmtId="0" fontId="3" fillId="0" borderId="16" xfId="0" applyFont="1" applyBorder="1" applyAlignment="1">
      <alignment vertical="top" wrapText="1"/>
    </xf>
    <xf numFmtId="0" fontId="3" fillId="0" borderId="12" xfId="0" applyFont="1" applyBorder="1" applyAlignment="1">
      <alignment vertical="top" wrapText="1"/>
    </xf>
    <xf numFmtId="0" fontId="3" fillId="0" borderId="9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0" borderId="17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3" fillId="0" borderId="18" xfId="0" applyFont="1" applyBorder="1" applyAlignment="1">
      <alignment vertical="top" wrapText="1"/>
    </xf>
    <xf numFmtId="0" fontId="1" fillId="0" borderId="12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0" fontId="3" fillId="0" borderId="19" xfId="0" applyFont="1" applyBorder="1" applyAlignment="1">
      <alignment horizontal="left" vertical="top"/>
    </xf>
    <xf numFmtId="0" fontId="3" fillId="0" borderId="14" xfId="0" applyFont="1" applyBorder="1" applyAlignment="1">
      <alignment horizontal="left" vertical="top"/>
    </xf>
    <xf numFmtId="0" fontId="3" fillId="0" borderId="13" xfId="0" applyFont="1" applyBorder="1" applyAlignment="1">
      <alignment horizontal="left" vertical="top"/>
    </xf>
    <xf numFmtId="0" fontId="3" fillId="0" borderId="15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3" fillId="0" borderId="10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ee11846ce882123f/Desktop/Case_Size_753323_Master_info753323_HEM_CORPORATION_PVT__LTD_.xlsx" TargetMode="External"/><Relationship Id="rId1" Type="http://schemas.openxmlformats.org/officeDocument/2006/relationships/externalLinkPath" Target="/ee11846ce882123f/Desktop/Case_Size_753323_Master_info753323_HEM_CORPORATION_PVT__LTD_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_infoCase_Size (2)"/>
      <sheetName val="Master_infoCase_Size"/>
    </sheetNames>
    <sheetDataSet>
      <sheetData sheetId="0">
        <row r="96">
          <cell r="A96" t="str">
            <v>Tall Hexa 10 Doz</v>
          </cell>
          <cell r="G96">
            <v>45.1</v>
          </cell>
        </row>
        <row r="97">
          <cell r="A97" t="str">
            <v>8 FH 600 Pcs</v>
          </cell>
          <cell r="G97">
            <v>34</v>
          </cell>
        </row>
        <row r="98">
          <cell r="A98" t="str">
            <v>Gift Pack 58 SET</v>
          </cell>
        </row>
        <row r="99">
          <cell r="A99" t="str">
            <v>WDB MI 4 Pcs</v>
          </cell>
          <cell r="G99">
            <v>34</v>
          </cell>
        </row>
        <row r="100">
          <cell r="A100" t="str">
            <v>WDB MI 6 Pcs</v>
          </cell>
          <cell r="G100">
            <v>34</v>
          </cell>
        </row>
        <row r="101">
          <cell r="A101" t="str">
            <v>SE OS 12 Doz</v>
          </cell>
          <cell r="G101">
            <v>24.1</v>
          </cell>
        </row>
        <row r="102">
          <cell r="A102" t="str">
            <v>10 FH 60 Pcs</v>
          </cell>
          <cell r="G102">
            <v>38</v>
          </cell>
        </row>
        <row r="103">
          <cell r="A103" t="str">
            <v>Coffin Box 60 PCS</v>
          </cell>
          <cell r="G103">
            <v>20</v>
          </cell>
        </row>
        <row r="104">
          <cell r="A104" t="str">
            <v>Hexa 66 Doz</v>
          </cell>
          <cell r="G104">
            <v>69</v>
          </cell>
        </row>
        <row r="105">
          <cell r="A105" t="str">
            <v>Square 48 Box (OP)</v>
          </cell>
          <cell r="G105">
            <v>56</v>
          </cell>
        </row>
        <row r="106">
          <cell r="A106" t="str">
            <v>Scentwrap Spray 180 PCS</v>
          </cell>
        </row>
        <row r="107">
          <cell r="A107" t="str">
            <v>SMC Candle 6 Pcs</v>
          </cell>
        </row>
        <row r="108">
          <cell r="A108" t="str">
            <v>Reed Diffuser 12 SET</v>
          </cell>
          <cell r="G108">
            <v>44</v>
          </cell>
        </row>
        <row r="109">
          <cell r="A109" t="str">
            <v>Incense Holder 60 PCS</v>
          </cell>
          <cell r="G109">
            <v>38</v>
          </cell>
        </row>
        <row r="110">
          <cell r="A110" t="str">
            <v>CL Wax Diya 48 SET</v>
          </cell>
          <cell r="G110">
            <v>33</v>
          </cell>
        </row>
        <row r="111">
          <cell r="A111" t="str">
            <v>CL Wax Diya 28 SET</v>
          </cell>
          <cell r="G111">
            <v>38</v>
          </cell>
        </row>
        <row r="112">
          <cell r="A112" t="str">
            <v>CL Wax Diya 47 SET</v>
          </cell>
          <cell r="G112">
            <v>38</v>
          </cell>
        </row>
        <row r="113">
          <cell r="A113" t="str">
            <v>Coffin Box 30 PCS -HEXA</v>
          </cell>
          <cell r="G113">
            <v>35</v>
          </cell>
        </row>
        <row r="114">
          <cell r="A114" t="str">
            <v>Wooden Tower 30 PCS+ HEXA</v>
          </cell>
          <cell r="G114">
            <v>48</v>
          </cell>
        </row>
        <row r="115">
          <cell r="A115" t="str">
            <v>Hexa 50 SET (GBH)</v>
          </cell>
          <cell r="G115">
            <v>46.5</v>
          </cell>
        </row>
        <row r="116">
          <cell r="A116" t="str">
            <v>Bag 50 Pcs</v>
          </cell>
        </row>
        <row r="117">
          <cell r="A117" t="str">
            <v>Free Samples 12 Pcs</v>
          </cell>
        </row>
        <row r="118">
          <cell r="A118" t="str">
            <v>Smudge Candle 24 Pcs</v>
          </cell>
          <cell r="G118">
            <v>38</v>
          </cell>
        </row>
        <row r="119">
          <cell r="A119" t="str">
            <v>Burner 60 PCS</v>
          </cell>
          <cell r="G119">
            <v>48.5</v>
          </cell>
        </row>
        <row r="120">
          <cell r="A120" t="str">
            <v>Cone Holder 36 Pcs</v>
          </cell>
          <cell r="G120">
            <v>36</v>
          </cell>
        </row>
        <row r="121">
          <cell r="A121" t="str">
            <v>Wooden Tower 30 PCS</v>
          </cell>
          <cell r="G121">
            <v>48</v>
          </cell>
        </row>
        <row r="122">
          <cell r="A122" t="str">
            <v>Coffin Box 30 PCS</v>
          </cell>
          <cell r="G122">
            <v>36</v>
          </cell>
        </row>
        <row r="123">
          <cell r="A123" t="str">
            <v>Cones Display 4 Unit</v>
          </cell>
          <cell r="G123">
            <v>49.5</v>
          </cell>
        </row>
        <row r="124">
          <cell r="A124" t="str">
            <v>Sample 1000 Pc</v>
          </cell>
        </row>
        <row r="125">
          <cell r="A125" t="str">
            <v>Room Spray 84 Pcs</v>
          </cell>
          <cell r="G125">
            <v>29</v>
          </cell>
        </row>
        <row r="126">
          <cell r="A126" t="str">
            <v>Pooja Oil 40 PCS</v>
          </cell>
          <cell r="G126">
            <v>40.5</v>
          </cell>
        </row>
        <row r="127">
          <cell r="A127" t="str">
            <v>DISPLAY 30 PCS</v>
          </cell>
        </row>
        <row r="128">
          <cell r="A128" t="str">
            <v>Sample 68 Pcs</v>
          </cell>
        </row>
        <row r="129">
          <cell r="A129" t="str">
            <v>Cone Holder 300 Pcs</v>
          </cell>
          <cell r="G129">
            <v>36</v>
          </cell>
        </row>
        <row r="130">
          <cell r="A130" t="str">
            <v>Cone Holder 100 Pcs</v>
          </cell>
          <cell r="G130">
            <v>34</v>
          </cell>
        </row>
        <row r="131">
          <cell r="A131" t="str">
            <v>5 PYR 150 Pcs</v>
          </cell>
          <cell r="G131">
            <v>38</v>
          </cell>
        </row>
        <row r="132">
          <cell r="A132" t="str">
            <v>Cone Holder 30 Pcs</v>
          </cell>
          <cell r="G132">
            <v>36</v>
          </cell>
        </row>
        <row r="133">
          <cell r="A133" t="str">
            <v>Cone Holder 60 Pcs</v>
          </cell>
          <cell r="G133">
            <v>36</v>
          </cell>
        </row>
        <row r="134">
          <cell r="A134" t="str">
            <v>WB 18 PCS</v>
          </cell>
          <cell r="G134">
            <v>34</v>
          </cell>
        </row>
        <row r="135">
          <cell r="A135" t="str">
            <v>BFC BUR SET 12 PCS</v>
          </cell>
          <cell r="G135">
            <v>48</v>
          </cell>
        </row>
        <row r="136">
          <cell r="A136" t="str">
            <v>Stones 72 SET</v>
          </cell>
          <cell r="G136">
            <v>32.4</v>
          </cell>
        </row>
        <row r="137">
          <cell r="A137" t="str">
            <v>Big Cone 9 Pcs</v>
          </cell>
        </row>
        <row r="138">
          <cell r="A138" t="str">
            <v>10 FH 600 Pcs</v>
          </cell>
          <cell r="G138">
            <v>36</v>
          </cell>
        </row>
        <row r="139">
          <cell r="A139" t="str">
            <v>Scentwraps 11 4 UNT</v>
          </cell>
          <cell r="G139">
            <v>51.3</v>
          </cell>
        </row>
        <row r="140">
          <cell r="A140" t="str">
            <v>Jumbo 10 Doz</v>
          </cell>
          <cell r="G140">
            <v>54.3</v>
          </cell>
        </row>
        <row r="141">
          <cell r="A141" t="str">
            <v>AOD 4 Set</v>
          </cell>
          <cell r="G141">
            <v>45.5</v>
          </cell>
        </row>
        <row r="142">
          <cell r="A142" t="str">
            <v>Ass SceWrap Spray 180 PCS</v>
          </cell>
        </row>
        <row r="143">
          <cell r="A143" t="str">
            <v>Frag Sachet 12 Doz</v>
          </cell>
        </row>
        <row r="144">
          <cell r="A144" t="str">
            <v>Frag Sachet 36 Doz</v>
          </cell>
          <cell r="G144">
            <v>53.5</v>
          </cell>
        </row>
        <row r="145">
          <cell r="A145" t="str">
            <v>Drm catcher 100 PC</v>
          </cell>
        </row>
        <row r="146">
          <cell r="A146" t="str">
            <v>Display Hexa 10 Pcs</v>
          </cell>
          <cell r="G146">
            <v>70</v>
          </cell>
        </row>
        <row r="147">
          <cell r="A147" t="str">
            <v>Drm catcher 50 PC</v>
          </cell>
        </row>
        <row r="148">
          <cell r="A148" t="str">
            <v>Drm catcher 11 PC</v>
          </cell>
        </row>
        <row r="149">
          <cell r="A149" t="str">
            <v>Scentwraps 19 2 UNT</v>
          </cell>
          <cell r="G149">
            <v>36</v>
          </cell>
        </row>
        <row r="150">
          <cell r="A150" t="str">
            <v>Loose 100 Gm 10 Doz</v>
          </cell>
          <cell r="G150">
            <v>67</v>
          </cell>
        </row>
        <row r="151">
          <cell r="A151" t="str">
            <v>Sage Herb 500 bundle</v>
          </cell>
          <cell r="G151">
            <v>650</v>
          </cell>
        </row>
        <row r="152">
          <cell r="A152" t="str">
            <v>Family Pack 4 Doz</v>
          </cell>
          <cell r="G152">
            <v>58.5</v>
          </cell>
        </row>
        <row r="153">
          <cell r="A153" t="str">
            <v>Flexo Pack 60 Doz</v>
          </cell>
          <cell r="G153">
            <v>58</v>
          </cell>
        </row>
        <row r="154">
          <cell r="A154" t="str">
            <v>Drm catcher 200 PCS</v>
          </cell>
        </row>
        <row r="155">
          <cell r="A155" t="str">
            <v>Tall Box 20 Doz</v>
          </cell>
        </row>
        <row r="156">
          <cell r="A156" t="str">
            <v>Scentwrap11 96 Pac</v>
          </cell>
          <cell r="G156">
            <v>42</v>
          </cell>
        </row>
        <row r="157">
          <cell r="A157" t="str">
            <v>Pouch 24 Doz</v>
          </cell>
          <cell r="G157">
            <v>37</v>
          </cell>
        </row>
        <row r="158">
          <cell r="A158" t="str">
            <v>Masala 15 Gm 30 Doz</v>
          </cell>
          <cell r="G158">
            <v>41.5</v>
          </cell>
        </row>
        <row r="159">
          <cell r="A159" t="str">
            <v>Roll On 6 Doz</v>
          </cell>
          <cell r="G159">
            <v>44.5</v>
          </cell>
        </row>
        <row r="160">
          <cell r="A160" t="str">
            <v>Ess Pr Oil 6 Doz</v>
          </cell>
          <cell r="G160">
            <v>44.5</v>
          </cell>
        </row>
        <row r="161">
          <cell r="A161" t="str">
            <v>Aroma Pr Oil 12 Doz</v>
          </cell>
          <cell r="G161">
            <v>44.5</v>
          </cell>
        </row>
        <row r="162">
          <cell r="A162" t="str">
            <v>Masala 15 Gm 40 Doz</v>
          </cell>
          <cell r="G162">
            <v>50.5</v>
          </cell>
        </row>
        <row r="163">
          <cell r="A163" t="str">
            <v>Pure Ghee Diya 72 PC</v>
          </cell>
          <cell r="G163">
            <v>61</v>
          </cell>
        </row>
        <row r="164">
          <cell r="A164" t="str">
            <v>Pure Cow Ghee Diya 72 PC</v>
          </cell>
          <cell r="G164">
            <v>61</v>
          </cell>
        </row>
        <row r="165">
          <cell r="A165" t="str">
            <v>Pure Ghee Diya 48 PC</v>
          </cell>
          <cell r="G165">
            <v>61</v>
          </cell>
        </row>
        <row r="166">
          <cell r="A166" t="str">
            <v>Pure Cow Ghee Diya 48 PC</v>
          </cell>
          <cell r="G166">
            <v>61</v>
          </cell>
        </row>
        <row r="167">
          <cell r="A167" t="str">
            <v>Masala 50 Doz</v>
          </cell>
          <cell r="G167">
            <v>66</v>
          </cell>
        </row>
        <row r="168">
          <cell r="A168" t="str">
            <v>Masala 50 Gm 24 Doz</v>
          </cell>
          <cell r="G168">
            <v>50</v>
          </cell>
        </row>
        <row r="169">
          <cell r="A169" t="str">
            <v>Mini Jumbo 10 Doz</v>
          </cell>
          <cell r="G169">
            <v>37</v>
          </cell>
        </row>
        <row r="170">
          <cell r="A170" t="str">
            <v>Top Table 4 UNT 60 Pkt</v>
          </cell>
          <cell r="G170">
            <v>62</v>
          </cell>
        </row>
        <row r="171">
          <cell r="A171" t="str">
            <v>STEP RETAIL READY 2 UNT</v>
          </cell>
        </row>
        <row r="172">
          <cell r="A172" t="str">
            <v>Gift Pack 120 Pcs</v>
          </cell>
        </row>
        <row r="173">
          <cell r="A173" t="str">
            <v>Gift Pack 56 Pac</v>
          </cell>
          <cell r="G173">
            <v>54</v>
          </cell>
        </row>
        <row r="174">
          <cell r="A174" t="str">
            <v>Gift Pack 48 SET</v>
          </cell>
          <cell r="G174">
            <v>40</v>
          </cell>
        </row>
        <row r="175">
          <cell r="A175" t="str">
            <v>Airfreshner Spray 48 Pcs</v>
          </cell>
          <cell r="G175">
            <v>45</v>
          </cell>
        </row>
        <row r="176">
          <cell r="A176" t="str">
            <v>Ess Oil 12 Doz</v>
          </cell>
          <cell r="G176">
            <v>400</v>
          </cell>
        </row>
        <row r="177">
          <cell r="A177" t="str">
            <v>Gift Pack 52 Pcs</v>
          </cell>
          <cell r="G177">
            <v>58.5</v>
          </cell>
        </row>
        <row r="178">
          <cell r="A178" t="str">
            <v>SE OS 24 Doz</v>
          </cell>
          <cell r="G178">
            <v>47.5</v>
          </cell>
        </row>
        <row r="179">
          <cell r="A179" t="str">
            <v>Jumbo BFC 12 Doz</v>
          </cell>
          <cell r="G179">
            <v>36</v>
          </cell>
        </row>
        <row r="180">
          <cell r="A180" t="str">
            <v>SMC Candle 72 Pcs</v>
          </cell>
          <cell r="G180">
            <v>36</v>
          </cell>
        </row>
        <row r="181">
          <cell r="A181" t="str">
            <v>Gift Pack 36 PCS</v>
          </cell>
          <cell r="G181">
            <v>42</v>
          </cell>
        </row>
        <row r="182">
          <cell r="A182" t="str">
            <v>Pooja Oil 20 Pcs</v>
          </cell>
          <cell r="G182">
            <v>40.5</v>
          </cell>
        </row>
        <row r="183">
          <cell r="A183" t="str">
            <v>Spray 4 UNT (80 Bottles)</v>
          </cell>
          <cell r="G183">
            <v>40</v>
          </cell>
        </row>
        <row r="184">
          <cell r="A184" t="str">
            <v>Pouch 20 Gms 48 Doz</v>
          </cell>
        </row>
        <row r="185">
          <cell r="A185" t="str">
            <v>Pouch 144 Pcs</v>
          </cell>
          <cell r="G185">
            <v>41</v>
          </cell>
        </row>
        <row r="186">
          <cell r="A186" t="str">
            <v>Masala Display 4 Unit</v>
          </cell>
          <cell r="G186">
            <v>78</v>
          </cell>
        </row>
        <row r="187">
          <cell r="A187" t="str">
            <v>SMC Candle 24 SET</v>
          </cell>
          <cell r="G187">
            <v>36</v>
          </cell>
        </row>
        <row r="188">
          <cell r="A188" t="str">
            <v>Frag Oil 12 Doz</v>
          </cell>
          <cell r="G188">
            <v>29</v>
          </cell>
        </row>
        <row r="189">
          <cell r="A189" t="str">
            <v>10 FH 50 Doz</v>
          </cell>
          <cell r="G189">
            <v>34</v>
          </cell>
        </row>
        <row r="190">
          <cell r="A190" t="str">
            <v>Candle 24 Pcs</v>
          </cell>
          <cell r="G190">
            <v>36.5</v>
          </cell>
        </row>
        <row r="191">
          <cell r="A191" t="str">
            <v>Pure Ghee Diya 50 PC</v>
          </cell>
          <cell r="G191">
            <v>610</v>
          </cell>
        </row>
        <row r="192">
          <cell r="A192" t="str">
            <v>Pure Cow Ghee Diya 50 PC</v>
          </cell>
          <cell r="G192">
            <v>61</v>
          </cell>
        </row>
        <row r="193">
          <cell r="A193" t="str">
            <v>Tall Box 24 Doz</v>
          </cell>
          <cell r="G193">
            <v>39.5</v>
          </cell>
        </row>
        <row r="194">
          <cell r="A194" t="str">
            <v>Car Air Freshener 96 Pcs</v>
          </cell>
          <cell r="G194">
            <v>33</v>
          </cell>
        </row>
        <row r="195">
          <cell r="A195" t="str">
            <v>Spray 36 SET</v>
          </cell>
          <cell r="G195">
            <v>28</v>
          </cell>
        </row>
        <row r="196">
          <cell r="A196" t="str">
            <v>Pouch 12 Doz</v>
          </cell>
          <cell r="G196">
            <v>41</v>
          </cell>
        </row>
        <row r="197">
          <cell r="A197" t="str">
            <v>Hexa 50 SET</v>
          </cell>
          <cell r="G197">
            <v>46.5</v>
          </cell>
        </row>
        <row r="198">
          <cell r="A198" t="str">
            <v>Sample 2500 Pc</v>
          </cell>
          <cell r="G198">
            <v>410</v>
          </cell>
        </row>
        <row r="199">
          <cell r="A199" t="str">
            <v>Resins Dhoop 48 Box</v>
          </cell>
          <cell r="G199">
            <v>37.5</v>
          </cell>
        </row>
        <row r="200">
          <cell r="A200" t="str">
            <v>10 FH 450 Pcs</v>
          </cell>
          <cell r="G200">
            <v>34</v>
          </cell>
        </row>
        <row r="201">
          <cell r="A201" t="str">
            <v>10 FH 800 Pcs</v>
          </cell>
          <cell r="G201">
            <v>34</v>
          </cell>
        </row>
        <row r="202">
          <cell r="A202" t="str">
            <v>Dhoop 24 Doz</v>
          </cell>
          <cell r="G202">
            <v>45</v>
          </cell>
        </row>
        <row r="203">
          <cell r="A203" t="str">
            <v>Aroma Oil 12 Doz</v>
          </cell>
          <cell r="G203">
            <v>29</v>
          </cell>
        </row>
        <row r="204">
          <cell r="A204" t="str">
            <v>Hexa Gift Pack 48 Pcs</v>
          </cell>
          <cell r="G204">
            <v>39.200000000000003</v>
          </cell>
        </row>
        <row r="205">
          <cell r="A205" t="str">
            <v>Cone 24 Doz (Asrt 4 Dz)</v>
          </cell>
          <cell r="G205">
            <v>39</v>
          </cell>
        </row>
        <row r="206">
          <cell r="A206" t="str">
            <v>Coaster 60 Pcs</v>
          </cell>
          <cell r="G206">
            <v>45</v>
          </cell>
        </row>
        <row r="207">
          <cell r="A207" t="str">
            <v>BFC Holder 24 Pc</v>
          </cell>
          <cell r="G207">
            <v>68.58</v>
          </cell>
        </row>
        <row r="208">
          <cell r="A208" t="str">
            <v>None</v>
          </cell>
        </row>
        <row r="209">
          <cell r="A209" t="str">
            <v>12 TWR 30 Pcs</v>
          </cell>
          <cell r="G209">
            <v>48</v>
          </cell>
        </row>
        <row r="210">
          <cell r="A210" t="str">
            <v>12 FH 600 Pcs</v>
          </cell>
        </row>
        <row r="211">
          <cell r="A211" t="str">
            <v>12 CB 30 Pcs</v>
          </cell>
          <cell r="G211">
            <v>36</v>
          </cell>
        </row>
        <row r="212">
          <cell r="A212" t="str">
            <v>10 FH 660 Pcs</v>
          </cell>
          <cell r="G212">
            <v>44</v>
          </cell>
        </row>
        <row r="213">
          <cell r="A213" t="str">
            <v>4 PYR 60 Pcs</v>
          </cell>
          <cell r="G213">
            <v>48</v>
          </cell>
        </row>
        <row r="214">
          <cell r="A214" t="str">
            <v>Wax Melts 96 Pcs</v>
          </cell>
          <cell r="G214">
            <v>61</v>
          </cell>
        </row>
        <row r="215">
          <cell r="A215" t="str">
            <v>Zipper 4 in 1 Pouch 6 Doz</v>
          </cell>
          <cell r="G215">
            <v>30</v>
          </cell>
        </row>
        <row r="216">
          <cell r="A216" t="str">
            <v>Zipper Pouch 12 Doz</v>
          </cell>
          <cell r="G216">
            <v>52</v>
          </cell>
        </row>
        <row r="217">
          <cell r="A217" t="str">
            <v>Zipper Pouch 6 Doz</v>
          </cell>
          <cell r="G217">
            <v>52</v>
          </cell>
        </row>
        <row r="218">
          <cell r="A218" t="str">
            <v>Pop Twelve 48 Doz</v>
          </cell>
          <cell r="G218">
            <v>56</v>
          </cell>
        </row>
        <row r="219">
          <cell r="A219" t="str">
            <v>Scentwrap11 36 Pcs</v>
          </cell>
          <cell r="G219">
            <v>51.3</v>
          </cell>
        </row>
        <row r="220">
          <cell r="A220" t="str">
            <v>Scentwrap19 48 Pcs</v>
          </cell>
          <cell r="G220">
            <v>36</v>
          </cell>
        </row>
        <row r="221">
          <cell r="A221" t="str">
            <v>Pooja Samagri 72 Pcs</v>
          </cell>
          <cell r="G221">
            <v>80</v>
          </cell>
        </row>
        <row r="222">
          <cell r="A222" t="str">
            <v>Ar Camphor 50 Gms 192</v>
          </cell>
          <cell r="G222">
            <v>37</v>
          </cell>
        </row>
        <row r="223">
          <cell r="A223" t="str">
            <v>Ar Camphor 100 Gms 108</v>
          </cell>
          <cell r="G223">
            <v>37</v>
          </cell>
        </row>
        <row r="224">
          <cell r="A224" t="str">
            <v>Car Freshener 12 Doz</v>
          </cell>
          <cell r="G224">
            <v>45</v>
          </cell>
        </row>
        <row r="225">
          <cell r="A225" t="str">
            <v>Airfreshner Spray 72 Pcs</v>
          </cell>
          <cell r="G225">
            <v>47</v>
          </cell>
        </row>
        <row r="226">
          <cell r="A226" t="str">
            <v>Room Spray 72 Pcs</v>
          </cell>
          <cell r="G226">
            <v>28</v>
          </cell>
        </row>
        <row r="227">
          <cell r="A227" t="str">
            <v>Potpouri 4 Doz</v>
          </cell>
          <cell r="G227">
            <v>52</v>
          </cell>
        </row>
        <row r="228">
          <cell r="A228" t="str">
            <v>Reed Diffuser 2 Doz</v>
          </cell>
          <cell r="G228">
            <v>39</v>
          </cell>
        </row>
        <row r="229">
          <cell r="A229" t="str">
            <v>Soap 100g 8 Doz</v>
          </cell>
          <cell r="G229">
            <v>41.5</v>
          </cell>
        </row>
        <row r="230">
          <cell r="A230" t="str">
            <v>Soap 75g 12 Doz</v>
          </cell>
          <cell r="G230">
            <v>37.299999999999997</v>
          </cell>
        </row>
        <row r="231">
          <cell r="A231" t="str">
            <v>Resin 30g 24 Doz</v>
          </cell>
          <cell r="G231">
            <v>63</v>
          </cell>
        </row>
        <row r="232">
          <cell r="A232" t="str">
            <v>Resin 20 KG</v>
          </cell>
          <cell r="G232">
            <v>43</v>
          </cell>
        </row>
        <row r="233">
          <cell r="A233" t="str">
            <v>Display SQ 10 Pcs</v>
          </cell>
          <cell r="G233">
            <v>64</v>
          </cell>
        </row>
        <row r="234">
          <cell r="A234" t="str">
            <v>Tall Eco 12 Doz</v>
          </cell>
          <cell r="G234">
            <v>51.5</v>
          </cell>
        </row>
        <row r="235">
          <cell r="A235" t="str">
            <v>Hexa 50 Doz (OP)</v>
          </cell>
          <cell r="G235">
            <v>62</v>
          </cell>
        </row>
        <row r="236">
          <cell r="A236" t="str">
            <v>Square 70 Box (OP)</v>
          </cell>
          <cell r="G236">
            <v>56.6</v>
          </cell>
        </row>
        <row r="237">
          <cell r="A237" t="str">
            <v>Loose 250g 20 Kg</v>
          </cell>
          <cell r="G237">
            <v>49</v>
          </cell>
        </row>
        <row r="238">
          <cell r="A238" t="str">
            <v>Masala 250g 4 Doz</v>
          </cell>
          <cell r="G238">
            <v>58.5</v>
          </cell>
        </row>
        <row r="239">
          <cell r="A239" t="str">
            <v>Festival Pack 56 Pcs</v>
          </cell>
          <cell r="G239">
            <v>54</v>
          </cell>
        </row>
        <row r="240">
          <cell r="A240" t="str">
            <v>Pop Tall 24 Doz</v>
          </cell>
          <cell r="G240">
            <v>39.5</v>
          </cell>
        </row>
        <row r="241">
          <cell r="A241" t="str">
            <v>Pop Tall 48 Doz</v>
          </cell>
          <cell r="G241">
            <v>57</v>
          </cell>
        </row>
        <row r="242">
          <cell r="A242" t="str">
            <v>Pop Tall 10 Doz</v>
          </cell>
          <cell r="G242">
            <v>45</v>
          </cell>
        </row>
        <row r="243">
          <cell r="A243" t="str">
            <v>Dhoop 12 Doz</v>
          </cell>
          <cell r="G243">
            <v>58</v>
          </cell>
        </row>
        <row r="244">
          <cell r="A244" t="str">
            <v xml:space="preserve"> </v>
          </cell>
          <cell r="G244">
            <v>61.5</v>
          </cell>
        </row>
        <row r="245">
          <cell r="A245" t="str">
            <v>Eco 12 Doz 3 in 1</v>
          </cell>
          <cell r="G245">
            <v>46.5</v>
          </cell>
        </row>
        <row r="246">
          <cell r="A246" t="str">
            <v>Eco 12 Doz</v>
          </cell>
          <cell r="G246">
            <v>42.5</v>
          </cell>
        </row>
        <row r="247">
          <cell r="A247" t="str">
            <v>Masala 50 Gm 6 Doz</v>
          </cell>
          <cell r="G247">
            <v>49</v>
          </cell>
        </row>
        <row r="248">
          <cell r="A248" t="str">
            <v>Masala 15 Gm 24 Doz</v>
          </cell>
          <cell r="G248">
            <v>49</v>
          </cell>
        </row>
        <row r="249">
          <cell r="A249" t="str">
            <v>Flora Masala Sq 36 Box</v>
          </cell>
          <cell r="G249">
            <v>52.5</v>
          </cell>
        </row>
        <row r="250">
          <cell r="A250" t="str">
            <v>7 Series 12 Box</v>
          </cell>
          <cell r="G250">
            <v>41</v>
          </cell>
        </row>
        <row r="251">
          <cell r="A251" t="str">
            <v>Big Cone 24 Doz</v>
          </cell>
          <cell r="G251">
            <v>47.5</v>
          </cell>
        </row>
        <row r="252">
          <cell r="A252" t="str">
            <v>BFC 10 Pc 24 Doz</v>
          </cell>
          <cell r="G252">
            <v>39.5</v>
          </cell>
        </row>
        <row r="253">
          <cell r="A253" t="str">
            <v>BFC 6 Doz</v>
          </cell>
          <cell r="G253">
            <v>31.5</v>
          </cell>
        </row>
        <row r="254">
          <cell r="A254" t="str">
            <v>Cone 30 Doz</v>
          </cell>
          <cell r="G254">
            <v>40</v>
          </cell>
        </row>
        <row r="255">
          <cell r="A255" t="str">
            <v>Tall Hexa 12 Doz</v>
          </cell>
          <cell r="G255">
            <v>60</v>
          </cell>
        </row>
        <row r="256">
          <cell r="A256" t="str">
            <v>Tall Hexa 6 Doz</v>
          </cell>
          <cell r="G256">
            <v>36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6"/>
  <sheetViews>
    <sheetView tabSelected="1" topLeftCell="B1" workbookViewId="0">
      <selection activeCell="J4" sqref="J4"/>
    </sheetView>
  </sheetViews>
  <sheetFormatPr defaultRowHeight="14.5" x14ac:dyDescent="0.35"/>
  <cols>
    <col min="1" max="1" width="22" style="13" bestFit="1" customWidth="1"/>
    <col min="2" max="2" width="42" style="13" bestFit="1" customWidth="1"/>
    <col min="3" max="3" width="42" style="13" customWidth="1"/>
    <col min="4" max="4" width="26.26953125" style="13" customWidth="1"/>
    <col min="5" max="5" width="8.36328125" style="13" customWidth="1"/>
    <col min="6" max="6" width="7.36328125" style="13" bestFit="1" customWidth="1"/>
    <col min="7" max="7" width="6.453125" style="13" bestFit="1" customWidth="1"/>
    <col min="8" max="8" width="7.81640625" style="13" bestFit="1" customWidth="1"/>
    <col min="9" max="9" width="6.36328125" style="13" bestFit="1" customWidth="1"/>
    <col min="10" max="10" width="7.90625" style="13" bestFit="1" customWidth="1"/>
  </cols>
  <sheetData>
    <row r="1" spans="1:10" ht="29.5" thickBot="1" x14ac:dyDescent="0.4">
      <c r="A1" s="14" t="s">
        <v>126</v>
      </c>
      <c r="B1" s="12" t="s">
        <v>0</v>
      </c>
      <c r="C1" s="12" t="s">
        <v>170</v>
      </c>
      <c r="D1" s="14" t="s">
        <v>1</v>
      </c>
      <c r="E1" s="32" t="s">
        <v>2</v>
      </c>
      <c r="F1" s="32" t="s">
        <v>3</v>
      </c>
      <c r="G1" s="32" t="s">
        <v>4</v>
      </c>
      <c r="H1" s="32" t="s">
        <v>5</v>
      </c>
      <c r="I1" s="33" t="s">
        <v>6</v>
      </c>
      <c r="J1" s="34" t="s">
        <v>7</v>
      </c>
    </row>
    <row r="2" spans="1:10" ht="15" thickBot="1" x14ac:dyDescent="0.4">
      <c r="A2" s="15" t="s">
        <v>8</v>
      </c>
      <c r="B2" s="1" t="s">
        <v>9</v>
      </c>
      <c r="C2" s="1" t="s">
        <v>10</v>
      </c>
      <c r="D2" s="21" t="s">
        <v>127</v>
      </c>
      <c r="E2" s="35">
        <v>16.5</v>
      </c>
      <c r="F2" s="35">
        <v>15.5</v>
      </c>
      <c r="G2" s="35">
        <v>46.5</v>
      </c>
      <c r="H2" s="35">
        <v>32.5</v>
      </c>
      <c r="I2" s="35">
        <v>53.5</v>
      </c>
      <c r="J2" s="36">
        <v>8.0851875000000004E-2</v>
      </c>
    </row>
    <row r="3" spans="1:10" ht="15" thickBot="1" x14ac:dyDescent="0.4">
      <c r="A3" s="15" t="s">
        <v>8</v>
      </c>
      <c r="B3" s="1" t="s">
        <v>159</v>
      </c>
      <c r="C3" s="1" t="s">
        <v>18</v>
      </c>
      <c r="D3" s="1" t="s">
        <v>128</v>
      </c>
      <c r="E3" s="35">
        <v>15.8</v>
      </c>
      <c r="F3" s="35">
        <v>14.7</v>
      </c>
      <c r="G3" s="35">
        <v>40</v>
      </c>
      <c r="H3" s="35">
        <v>39</v>
      </c>
      <c r="I3" s="35">
        <v>54</v>
      </c>
      <c r="J3" s="36">
        <v>0.09</v>
      </c>
    </row>
    <row r="4" spans="1:10" ht="15" thickBot="1" x14ac:dyDescent="0.4">
      <c r="A4" s="15" t="s">
        <v>8</v>
      </c>
      <c r="B4" s="1" t="s">
        <v>160</v>
      </c>
      <c r="C4" s="1" t="s">
        <v>118</v>
      </c>
      <c r="D4" s="1" t="s">
        <v>129</v>
      </c>
      <c r="E4" s="35">
        <v>13</v>
      </c>
      <c r="F4" s="35">
        <v>12</v>
      </c>
      <c r="G4" s="35">
        <v>38</v>
      </c>
      <c r="H4" s="35">
        <v>32</v>
      </c>
      <c r="I4" s="35">
        <v>54</v>
      </c>
      <c r="J4" s="36">
        <v>7.0000000000000007E-2</v>
      </c>
    </row>
    <row r="5" spans="1:10" ht="15" thickBot="1" x14ac:dyDescent="0.4">
      <c r="A5" s="15" t="s">
        <v>8</v>
      </c>
      <c r="B5" s="1" t="s">
        <v>161</v>
      </c>
      <c r="C5" s="1" t="s">
        <v>73</v>
      </c>
      <c r="D5" s="1" t="s">
        <v>130</v>
      </c>
      <c r="E5" s="35">
        <v>8</v>
      </c>
      <c r="F5" s="35">
        <v>7.4</v>
      </c>
      <c r="G5" s="35">
        <v>57.5</v>
      </c>
      <c r="H5" s="35">
        <v>25</v>
      </c>
      <c r="I5" s="35">
        <v>27.5</v>
      </c>
      <c r="J5" s="36">
        <v>0.04</v>
      </c>
    </row>
    <row r="6" spans="1:10" ht="15" thickBot="1" x14ac:dyDescent="0.4">
      <c r="A6" s="15" t="s">
        <v>8</v>
      </c>
      <c r="B6" s="1" t="s">
        <v>162</v>
      </c>
      <c r="C6" s="1" t="s">
        <v>62</v>
      </c>
      <c r="D6" s="1" t="s">
        <v>131</v>
      </c>
      <c r="E6" s="35">
        <v>4</v>
      </c>
      <c r="F6" s="35">
        <v>3.5</v>
      </c>
      <c r="G6" s="35">
        <v>38</v>
      </c>
      <c r="H6" s="35">
        <v>27</v>
      </c>
      <c r="I6" s="35">
        <v>20</v>
      </c>
      <c r="J6" s="36">
        <v>0.02</v>
      </c>
    </row>
    <row r="7" spans="1:10" ht="15" thickBot="1" x14ac:dyDescent="0.4">
      <c r="A7" s="15" t="s">
        <v>11</v>
      </c>
      <c r="B7" s="1" t="s">
        <v>12</v>
      </c>
      <c r="C7" s="1" t="s">
        <v>73</v>
      </c>
      <c r="D7" s="21" t="s">
        <v>134</v>
      </c>
      <c r="E7" s="35">
        <v>16.5</v>
      </c>
      <c r="F7" s="35">
        <v>15.3</v>
      </c>
      <c r="G7" s="35">
        <v>60</v>
      </c>
      <c r="H7" s="35">
        <v>36</v>
      </c>
      <c r="I7" s="35">
        <v>45</v>
      </c>
      <c r="J7" s="36">
        <v>9.7000000000000003E-2</v>
      </c>
    </row>
    <row r="8" spans="1:10" ht="15" thickBot="1" x14ac:dyDescent="0.4">
      <c r="A8" s="15" t="s">
        <v>11</v>
      </c>
      <c r="B8" s="1" t="s">
        <v>163</v>
      </c>
      <c r="C8" s="1" t="s">
        <v>171</v>
      </c>
      <c r="D8" s="1" t="s">
        <v>132</v>
      </c>
      <c r="E8" s="35">
        <v>15</v>
      </c>
      <c r="F8" s="35">
        <v>14.1</v>
      </c>
      <c r="G8" s="35">
        <f>_xlfn.XLOOKUP(D8,'[1]Master_infoCase_Size (2)'!$A$96:$A$256,'[1]Master_infoCase_Size (2)'!$G$96:$G$256,"")</f>
        <v>45.1</v>
      </c>
      <c r="H8" s="35">
        <v>36.5</v>
      </c>
      <c r="I8" s="35">
        <v>44.5</v>
      </c>
      <c r="J8" s="36">
        <v>7.0000000000000007E-2</v>
      </c>
    </row>
    <row r="9" spans="1:10" ht="15" thickBot="1" x14ac:dyDescent="0.4">
      <c r="A9" s="15" t="s">
        <v>11</v>
      </c>
      <c r="B9" s="1" t="s">
        <v>164</v>
      </c>
      <c r="C9" s="1" t="s">
        <v>62</v>
      </c>
      <c r="D9" s="1" t="s">
        <v>133</v>
      </c>
      <c r="E9" s="35">
        <v>9</v>
      </c>
      <c r="F9" s="35">
        <v>8.1999999999999993</v>
      </c>
      <c r="G9" s="35">
        <f>_xlfn.XLOOKUP(D9,'[1]Master_infoCase_Size (2)'!$A$96:$A$256,'[1]Master_infoCase_Size (2)'!$G$96:$G$256,"")</f>
        <v>36</v>
      </c>
      <c r="H9" s="35">
        <v>30</v>
      </c>
      <c r="I9" s="35">
        <v>44</v>
      </c>
      <c r="J9" s="36">
        <v>0.05</v>
      </c>
    </row>
    <row r="10" spans="1:10" ht="29.5" thickBot="1" x14ac:dyDescent="0.4">
      <c r="A10" s="16" t="s">
        <v>14</v>
      </c>
      <c r="B10" s="1" t="s">
        <v>15</v>
      </c>
      <c r="C10" s="1" t="s">
        <v>10</v>
      </c>
      <c r="D10" s="1" t="s">
        <v>10</v>
      </c>
      <c r="E10" s="35">
        <v>16.5</v>
      </c>
      <c r="F10" s="35">
        <v>15.5</v>
      </c>
      <c r="G10" s="35">
        <v>46.5</v>
      </c>
      <c r="H10" s="35">
        <v>32.5</v>
      </c>
      <c r="I10" s="35">
        <v>53.5</v>
      </c>
      <c r="J10" s="36">
        <v>8.0851875000000004E-2</v>
      </c>
    </row>
    <row r="11" spans="1:10" ht="15" thickBot="1" x14ac:dyDescent="0.4">
      <c r="A11" s="17" t="s">
        <v>16</v>
      </c>
      <c r="B11" s="2" t="s">
        <v>17</v>
      </c>
      <c r="C11" s="8" t="s">
        <v>18</v>
      </c>
      <c r="D11" s="1" t="s">
        <v>135</v>
      </c>
      <c r="E11" s="37">
        <v>10.3</v>
      </c>
      <c r="F11" s="37">
        <v>9.6</v>
      </c>
      <c r="G11" s="22">
        <v>49</v>
      </c>
      <c r="H11" s="22">
        <v>27</v>
      </c>
      <c r="I11" s="22">
        <v>45</v>
      </c>
      <c r="J11" s="22" t="s">
        <v>19</v>
      </c>
    </row>
    <row r="12" spans="1:10" ht="15" thickBot="1" x14ac:dyDescent="0.4">
      <c r="A12" s="17" t="s">
        <v>16</v>
      </c>
      <c r="B12" s="2" t="s">
        <v>165</v>
      </c>
      <c r="C12" s="8" t="s">
        <v>174</v>
      </c>
      <c r="D12" s="1" t="s">
        <v>136</v>
      </c>
      <c r="E12" s="37">
        <v>21</v>
      </c>
      <c r="F12" s="37">
        <v>20</v>
      </c>
      <c r="G12" s="37">
        <v>66</v>
      </c>
      <c r="H12" s="37">
        <v>42</v>
      </c>
      <c r="I12" s="22">
        <v>47</v>
      </c>
      <c r="J12" s="22">
        <v>0.13</v>
      </c>
    </row>
    <row r="13" spans="1:10" ht="15" thickBot="1" x14ac:dyDescent="0.4">
      <c r="A13" s="17" t="s">
        <v>16</v>
      </c>
      <c r="B13" s="2" t="s">
        <v>166</v>
      </c>
      <c r="C13" s="8" t="s">
        <v>62</v>
      </c>
      <c r="D13" s="1" t="s">
        <v>137</v>
      </c>
      <c r="E13" s="37">
        <v>2.5499999999999998</v>
      </c>
      <c r="F13" s="37">
        <v>2.2000000000000002</v>
      </c>
      <c r="G13" s="37">
        <v>27</v>
      </c>
      <c r="H13" s="37">
        <v>25.4</v>
      </c>
      <c r="I13" s="22">
        <v>24</v>
      </c>
      <c r="J13" s="22">
        <v>0.02</v>
      </c>
    </row>
    <row r="14" spans="1:10" ht="15" thickBot="1" x14ac:dyDescent="0.4">
      <c r="A14" s="17" t="s">
        <v>16</v>
      </c>
      <c r="B14" s="2" t="s">
        <v>167</v>
      </c>
      <c r="C14" s="8" t="s">
        <v>172</v>
      </c>
      <c r="D14" s="1" t="s">
        <v>138</v>
      </c>
      <c r="E14" s="37">
        <v>10.3</v>
      </c>
      <c r="F14" s="37">
        <v>9.6</v>
      </c>
      <c r="G14" s="37">
        <v>49</v>
      </c>
      <c r="H14" s="37">
        <v>27</v>
      </c>
      <c r="I14" s="22">
        <v>45</v>
      </c>
      <c r="J14" s="22">
        <v>0.06</v>
      </c>
    </row>
    <row r="15" spans="1:10" ht="15" thickBot="1" x14ac:dyDescent="0.4">
      <c r="A15" s="17" t="s">
        <v>16</v>
      </c>
      <c r="B15" s="2" t="s">
        <v>168</v>
      </c>
      <c r="C15" s="8" t="s">
        <v>56</v>
      </c>
      <c r="D15" s="1" t="s">
        <v>139</v>
      </c>
      <c r="E15" s="37">
        <v>12.75</v>
      </c>
      <c r="F15" s="37">
        <v>10.75</v>
      </c>
      <c r="G15" s="37">
        <v>41.5</v>
      </c>
      <c r="H15" s="37">
        <v>40</v>
      </c>
      <c r="I15" s="22">
        <v>47.5</v>
      </c>
      <c r="J15" s="22">
        <v>0.08</v>
      </c>
    </row>
    <row r="16" spans="1:10" ht="15" thickBot="1" x14ac:dyDescent="0.4">
      <c r="A16" s="17" t="s">
        <v>16</v>
      </c>
      <c r="B16" s="2" t="s">
        <v>169</v>
      </c>
      <c r="C16" s="8" t="s">
        <v>173</v>
      </c>
      <c r="D16" s="1" t="s">
        <v>140</v>
      </c>
      <c r="E16" s="37">
        <v>22.87</v>
      </c>
      <c r="F16" s="37">
        <v>21.9</v>
      </c>
      <c r="G16" s="37">
        <v>50.5</v>
      </c>
      <c r="H16" s="37">
        <v>34</v>
      </c>
      <c r="I16" s="22">
        <v>51</v>
      </c>
      <c r="J16" s="22">
        <v>0.09</v>
      </c>
    </row>
    <row r="17" spans="1:10" ht="29.5" thickBot="1" x14ac:dyDescent="0.4">
      <c r="A17" s="16" t="s">
        <v>20</v>
      </c>
      <c r="B17" s="2" t="s">
        <v>21</v>
      </c>
      <c r="C17" s="8" t="s">
        <v>18</v>
      </c>
      <c r="D17" s="3" t="s">
        <v>18</v>
      </c>
      <c r="E17" s="37">
        <v>10.3</v>
      </c>
      <c r="F17" s="37">
        <v>9.6</v>
      </c>
      <c r="G17" s="22">
        <v>49</v>
      </c>
      <c r="H17" s="22">
        <v>27</v>
      </c>
      <c r="I17" s="22">
        <v>45</v>
      </c>
      <c r="J17" s="22" t="s">
        <v>19</v>
      </c>
    </row>
    <row r="18" spans="1:10" ht="29.5" thickBot="1" x14ac:dyDescent="0.4">
      <c r="A18" s="16" t="s">
        <v>22</v>
      </c>
      <c r="B18" s="3" t="s">
        <v>23</v>
      </c>
      <c r="C18" s="3" t="s">
        <v>24</v>
      </c>
      <c r="D18" s="3" t="s">
        <v>24</v>
      </c>
      <c r="E18" s="35">
        <v>13.8</v>
      </c>
      <c r="F18" s="35">
        <v>12.8</v>
      </c>
      <c r="G18" s="35">
        <v>58.5</v>
      </c>
      <c r="H18" s="35">
        <v>31</v>
      </c>
      <c r="I18" s="35">
        <v>51.2</v>
      </c>
      <c r="J18" s="36">
        <f>+G18*H18*I18/1000000</f>
        <v>9.2851200000000009E-2</v>
      </c>
    </row>
    <row r="19" spans="1:10" ht="29.5" thickBot="1" x14ac:dyDescent="0.4">
      <c r="A19" s="16" t="s">
        <v>25</v>
      </c>
      <c r="B19" s="3" t="s">
        <v>23</v>
      </c>
      <c r="C19" s="3" t="s">
        <v>24</v>
      </c>
      <c r="D19" s="3" t="s">
        <v>24</v>
      </c>
      <c r="E19" s="35">
        <v>13.8</v>
      </c>
      <c r="F19" s="35">
        <v>12.8</v>
      </c>
      <c r="G19" s="35">
        <v>58.5</v>
      </c>
      <c r="H19" s="35">
        <v>31</v>
      </c>
      <c r="I19" s="35">
        <v>51.2</v>
      </c>
      <c r="J19" s="36">
        <f>+G19*H19*I19/1000000</f>
        <v>9.2851200000000009E-2</v>
      </c>
    </row>
    <row r="20" spans="1:10" ht="73" thickBot="1" x14ac:dyDescent="0.4">
      <c r="A20" s="16" t="s">
        <v>26</v>
      </c>
      <c r="B20" s="3" t="s">
        <v>27</v>
      </c>
      <c r="C20" s="3" t="s">
        <v>24</v>
      </c>
      <c r="D20" s="3" t="s">
        <v>24</v>
      </c>
      <c r="E20" s="35">
        <v>20.5</v>
      </c>
      <c r="F20" s="35">
        <v>19</v>
      </c>
      <c r="G20" s="35">
        <v>46.5</v>
      </c>
      <c r="H20" s="35">
        <v>40.5</v>
      </c>
      <c r="I20" s="35">
        <v>48</v>
      </c>
      <c r="J20" s="36">
        <v>0.08</v>
      </c>
    </row>
    <row r="21" spans="1:10" ht="15" thickBot="1" x14ac:dyDescent="0.4">
      <c r="A21" s="60" t="s">
        <v>141</v>
      </c>
      <c r="B21" s="2" t="s">
        <v>28</v>
      </c>
      <c r="C21" s="2" t="s">
        <v>175</v>
      </c>
      <c r="D21" s="23" t="s">
        <v>29</v>
      </c>
      <c r="E21" s="37">
        <v>16.7</v>
      </c>
      <c r="F21" s="37">
        <v>15.2</v>
      </c>
      <c r="G21" s="22" t="s">
        <v>30</v>
      </c>
      <c r="H21" s="22" t="s">
        <v>31</v>
      </c>
      <c r="I21" s="22" t="s">
        <v>32</v>
      </c>
      <c r="J21" s="22" t="s">
        <v>33</v>
      </c>
    </row>
    <row r="22" spans="1:10" ht="15" thickBot="1" x14ac:dyDescent="0.4">
      <c r="A22" s="60" t="s">
        <v>141</v>
      </c>
      <c r="B22" s="4" t="s">
        <v>34</v>
      </c>
      <c r="C22" s="3" t="s">
        <v>24</v>
      </c>
      <c r="D22" s="24" t="s">
        <v>35</v>
      </c>
      <c r="E22" s="38">
        <v>16.3</v>
      </c>
      <c r="F22" s="38">
        <v>15.1</v>
      </c>
      <c r="G22" s="38">
        <v>41</v>
      </c>
      <c r="H22" s="38">
        <v>36.5</v>
      </c>
      <c r="I22" s="38">
        <v>53</v>
      </c>
      <c r="J22" s="39">
        <v>7.9073820000000003E-2</v>
      </c>
    </row>
    <row r="23" spans="1:10" ht="15" thickBot="1" x14ac:dyDescent="0.4">
      <c r="A23" s="60" t="s">
        <v>141</v>
      </c>
      <c r="B23" s="5" t="s">
        <v>36</v>
      </c>
      <c r="C23" s="3" t="s">
        <v>24</v>
      </c>
      <c r="D23" s="25" t="s">
        <v>35</v>
      </c>
      <c r="E23" s="40">
        <v>23.4</v>
      </c>
      <c r="F23" s="40">
        <v>22.4</v>
      </c>
      <c r="G23" s="40">
        <v>41.5</v>
      </c>
      <c r="H23" s="40">
        <v>33.5</v>
      </c>
      <c r="I23" s="40">
        <v>48.5</v>
      </c>
      <c r="J23" s="41">
        <v>6.7427125000000004E-2</v>
      </c>
    </row>
    <row r="24" spans="1:10" ht="29.5" thickBot="1" x14ac:dyDescent="0.4">
      <c r="A24" s="16" t="s">
        <v>37</v>
      </c>
      <c r="B24" s="3" t="s">
        <v>38</v>
      </c>
      <c r="C24" s="3" t="s">
        <v>24</v>
      </c>
      <c r="D24" s="3" t="s">
        <v>35</v>
      </c>
      <c r="E24" s="35">
        <v>16.3</v>
      </c>
      <c r="F24" s="35">
        <v>15.1</v>
      </c>
      <c r="G24" s="35">
        <v>42</v>
      </c>
      <c r="H24" s="35">
        <v>36</v>
      </c>
      <c r="I24" s="35">
        <v>53</v>
      </c>
      <c r="J24" s="36">
        <f t="shared" ref="J24" si="0">+G24*H24*I24/1000000</f>
        <v>8.0135999999999999E-2</v>
      </c>
    </row>
    <row r="25" spans="1:10" ht="29.5" thickBot="1" x14ac:dyDescent="0.4">
      <c r="A25" s="16" t="s">
        <v>39</v>
      </c>
      <c r="B25" s="3" t="s">
        <v>40</v>
      </c>
      <c r="C25" s="3" t="s">
        <v>41</v>
      </c>
      <c r="D25" s="3" t="s">
        <v>41</v>
      </c>
      <c r="E25" s="35">
        <v>15.3</v>
      </c>
      <c r="F25" s="35">
        <v>14.3</v>
      </c>
      <c r="G25" s="35">
        <v>42.5</v>
      </c>
      <c r="H25" s="35">
        <v>40</v>
      </c>
      <c r="I25" s="35">
        <v>54.5</v>
      </c>
      <c r="J25" s="36">
        <v>9.2766407999999995E-2</v>
      </c>
    </row>
    <row r="26" spans="1:10" ht="15" thickBot="1" x14ac:dyDescent="0.4">
      <c r="A26" s="16" t="s">
        <v>42</v>
      </c>
      <c r="B26" s="3" t="s">
        <v>43</v>
      </c>
      <c r="C26" s="3" t="s">
        <v>44</v>
      </c>
      <c r="D26" s="3" t="s">
        <v>44</v>
      </c>
      <c r="E26" s="35">
        <v>11.5</v>
      </c>
      <c r="F26" s="35">
        <v>10.9</v>
      </c>
      <c r="G26" s="35">
        <v>46</v>
      </c>
      <c r="H26" s="35">
        <v>40.5</v>
      </c>
      <c r="I26" s="35">
        <v>47</v>
      </c>
      <c r="J26" s="36">
        <f>G26*H26*I26/1000000</f>
        <v>8.7561E-2</v>
      </c>
    </row>
    <row r="27" spans="1:10" ht="15" thickBot="1" x14ac:dyDescent="0.4">
      <c r="A27" s="60" t="s">
        <v>45</v>
      </c>
      <c r="B27" s="1" t="s">
        <v>46</v>
      </c>
      <c r="C27" s="1" t="s">
        <v>47</v>
      </c>
      <c r="D27" s="21" t="s">
        <v>47</v>
      </c>
      <c r="E27" s="35">
        <v>23</v>
      </c>
      <c r="F27" s="35">
        <v>21.5</v>
      </c>
      <c r="G27" s="35">
        <v>41.5</v>
      </c>
      <c r="H27" s="35">
        <v>41.5</v>
      </c>
      <c r="I27" s="35">
        <v>54.7</v>
      </c>
      <c r="J27" s="36">
        <v>9.4207075000000001E-2</v>
      </c>
    </row>
    <row r="28" spans="1:10" ht="15" thickBot="1" x14ac:dyDescent="0.4">
      <c r="A28" s="60" t="s">
        <v>45</v>
      </c>
      <c r="B28" s="6"/>
      <c r="C28" s="6" t="s">
        <v>101</v>
      </c>
      <c r="D28" s="6" t="s">
        <v>142</v>
      </c>
      <c r="E28" s="6">
        <v>23</v>
      </c>
      <c r="F28" s="6">
        <v>21.5</v>
      </c>
      <c r="G28" s="6">
        <v>56</v>
      </c>
      <c r="H28" s="6">
        <v>36.5</v>
      </c>
      <c r="I28" s="6">
        <v>54</v>
      </c>
      <c r="J28" s="36">
        <v>0.11</v>
      </c>
    </row>
    <row r="29" spans="1:10" ht="15" thickBot="1" x14ac:dyDescent="0.4">
      <c r="A29" s="60" t="s">
        <v>45</v>
      </c>
      <c r="B29" s="6"/>
      <c r="C29" s="6" t="s">
        <v>176</v>
      </c>
      <c r="D29" s="6" t="s">
        <v>143</v>
      </c>
      <c r="E29" s="6">
        <v>29.2</v>
      </c>
      <c r="F29" s="6">
        <v>27.5</v>
      </c>
      <c r="G29" s="6">
        <v>56.6</v>
      </c>
      <c r="H29" s="6">
        <v>41</v>
      </c>
      <c r="I29" s="6">
        <v>54</v>
      </c>
      <c r="J29" s="36">
        <v>0.13</v>
      </c>
    </row>
    <row r="30" spans="1:10" ht="15" thickBot="1" x14ac:dyDescent="0.4">
      <c r="A30" s="60" t="s">
        <v>45</v>
      </c>
      <c r="B30" s="6"/>
      <c r="C30" s="6" t="s">
        <v>50</v>
      </c>
      <c r="D30" s="6" t="s">
        <v>144</v>
      </c>
      <c r="E30" s="6">
        <v>17</v>
      </c>
      <c r="F30" s="6">
        <v>16</v>
      </c>
      <c r="G30" s="6">
        <v>49</v>
      </c>
      <c r="H30" s="6">
        <v>26</v>
      </c>
      <c r="I30" s="6">
        <v>55</v>
      </c>
      <c r="J30" s="36">
        <v>7.0000000000000007E-2</v>
      </c>
    </row>
    <row r="31" spans="1:10" ht="15" thickBot="1" x14ac:dyDescent="0.4">
      <c r="A31" s="60" t="s">
        <v>45</v>
      </c>
      <c r="B31" s="6"/>
      <c r="C31" s="6" t="s">
        <v>47</v>
      </c>
      <c r="D31" s="6" t="s">
        <v>145</v>
      </c>
      <c r="E31" s="6">
        <v>23</v>
      </c>
      <c r="F31" s="6">
        <v>21.5</v>
      </c>
      <c r="G31" s="6">
        <v>41.5</v>
      </c>
      <c r="H31" s="6">
        <v>41.5</v>
      </c>
      <c r="I31" s="6">
        <v>54.7</v>
      </c>
      <c r="J31" s="36">
        <v>0.1</v>
      </c>
    </row>
    <row r="32" spans="1:10" ht="15" thickBot="1" x14ac:dyDescent="0.4">
      <c r="A32" s="60" t="s">
        <v>45</v>
      </c>
      <c r="B32" s="6"/>
      <c r="C32" s="6" t="s">
        <v>177</v>
      </c>
      <c r="D32" s="6" t="s">
        <v>146</v>
      </c>
      <c r="E32" s="6">
        <v>12</v>
      </c>
      <c r="F32" s="6">
        <v>11</v>
      </c>
      <c r="G32" s="6">
        <v>42</v>
      </c>
      <c r="H32" s="6">
        <v>42</v>
      </c>
      <c r="I32" s="6">
        <v>28</v>
      </c>
      <c r="J32" s="36">
        <v>0.05</v>
      </c>
    </row>
    <row r="33" spans="1:10" ht="15" thickBot="1" x14ac:dyDescent="0.4">
      <c r="A33" s="60" t="s">
        <v>45</v>
      </c>
      <c r="B33" s="6"/>
      <c r="C33" s="6" t="s">
        <v>178</v>
      </c>
      <c r="D33" s="6" t="s">
        <v>147</v>
      </c>
      <c r="E33" s="6">
        <v>11</v>
      </c>
      <c r="F33" s="6">
        <v>10.5</v>
      </c>
      <c r="G33" s="6">
        <v>49</v>
      </c>
      <c r="H33" s="6">
        <v>28.5</v>
      </c>
      <c r="I33" s="6">
        <v>34</v>
      </c>
      <c r="J33" s="36">
        <v>0.05</v>
      </c>
    </row>
    <row r="34" spans="1:10" ht="15" thickBot="1" x14ac:dyDescent="0.4">
      <c r="A34" s="18" t="s">
        <v>48</v>
      </c>
      <c r="B34" s="6" t="s">
        <v>49</v>
      </c>
      <c r="C34" s="6" t="s">
        <v>50</v>
      </c>
      <c r="D34" s="26" t="s">
        <v>50</v>
      </c>
      <c r="E34" s="42">
        <v>14.2</v>
      </c>
      <c r="F34" s="42">
        <v>15.2</v>
      </c>
      <c r="G34" s="43">
        <v>52.5</v>
      </c>
      <c r="H34" s="43">
        <v>27</v>
      </c>
      <c r="I34" s="43">
        <v>45</v>
      </c>
      <c r="J34" s="36">
        <f>G34*H34*I34/1000000</f>
        <v>6.3787499999999997E-2</v>
      </c>
    </row>
    <row r="35" spans="1:10" ht="15" thickBot="1" x14ac:dyDescent="0.4">
      <c r="A35" s="16" t="s">
        <v>51</v>
      </c>
      <c r="B35" s="3" t="s">
        <v>52</v>
      </c>
      <c r="C35" s="1" t="s">
        <v>179</v>
      </c>
      <c r="D35" s="3" t="s">
        <v>53</v>
      </c>
      <c r="E35" s="35">
        <v>17.925000000000001</v>
      </c>
      <c r="F35" s="35">
        <v>16.399999999999999</v>
      </c>
      <c r="G35" s="35">
        <v>56</v>
      </c>
      <c r="H35" s="35">
        <v>36</v>
      </c>
      <c r="I35" s="35">
        <v>53.5</v>
      </c>
      <c r="J35" s="36">
        <f>G35*H35*I35/1000000</f>
        <v>0.10785599999999999</v>
      </c>
    </row>
    <row r="36" spans="1:10" ht="15" thickBot="1" x14ac:dyDescent="0.4">
      <c r="A36" s="60" t="s">
        <v>54</v>
      </c>
      <c r="B36" s="2" t="s">
        <v>55</v>
      </c>
      <c r="C36" s="2" t="s">
        <v>56</v>
      </c>
      <c r="D36" s="23" t="s">
        <v>56</v>
      </c>
      <c r="E36" s="37">
        <v>10.4</v>
      </c>
      <c r="F36" s="37">
        <v>9.3000000000000007</v>
      </c>
      <c r="G36" s="44">
        <v>34.5</v>
      </c>
      <c r="H36" s="44">
        <v>26.5</v>
      </c>
      <c r="I36" s="44">
        <v>48</v>
      </c>
      <c r="J36" s="45">
        <v>4.3999999999999997E-2</v>
      </c>
    </row>
    <row r="37" spans="1:10" ht="15" thickBot="1" x14ac:dyDescent="0.4">
      <c r="A37" s="60" t="s">
        <v>54</v>
      </c>
      <c r="B37" s="5" t="s">
        <v>57</v>
      </c>
      <c r="C37" s="5" t="s">
        <v>180</v>
      </c>
      <c r="D37" s="27" t="s">
        <v>58</v>
      </c>
      <c r="E37" s="37">
        <v>8.3000000000000007</v>
      </c>
      <c r="F37" s="37">
        <v>7.5</v>
      </c>
      <c r="G37" s="44">
        <v>38</v>
      </c>
      <c r="H37" s="44">
        <v>33.5</v>
      </c>
      <c r="I37" s="44">
        <v>28.5</v>
      </c>
      <c r="J37" s="45">
        <v>3.5999999999999997E-2</v>
      </c>
    </row>
    <row r="38" spans="1:10" ht="15" thickBot="1" x14ac:dyDescent="0.4">
      <c r="A38" s="60" t="s">
        <v>54</v>
      </c>
      <c r="B38" s="6"/>
      <c r="C38" s="6" t="s">
        <v>188</v>
      </c>
      <c r="D38" s="6" t="s">
        <v>148</v>
      </c>
      <c r="E38" s="6">
        <v>10.199999999999999</v>
      </c>
      <c r="F38" s="6">
        <v>9.8000000000000007</v>
      </c>
      <c r="G38" s="6">
        <v>40</v>
      </c>
      <c r="H38" s="6">
        <v>32</v>
      </c>
      <c r="I38" s="6">
        <v>35</v>
      </c>
      <c r="J38" s="6">
        <v>0.05</v>
      </c>
    </row>
    <row r="39" spans="1:10" ht="15" thickBot="1" x14ac:dyDescent="0.4">
      <c r="A39" s="60" t="s">
        <v>54</v>
      </c>
      <c r="B39" s="6"/>
      <c r="C39" s="6" t="s">
        <v>181</v>
      </c>
      <c r="D39" s="6" t="s">
        <v>149</v>
      </c>
      <c r="E39" s="6">
        <v>11.5</v>
      </c>
      <c r="F39" s="6">
        <v>10</v>
      </c>
      <c r="G39" s="6">
        <v>29</v>
      </c>
      <c r="H39" s="6">
        <v>23.5</v>
      </c>
      <c r="I39" s="6">
        <v>67.5</v>
      </c>
      <c r="J39" s="6">
        <v>0.05</v>
      </c>
    </row>
    <row r="40" spans="1:10" ht="15" thickBot="1" x14ac:dyDescent="0.4">
      <c r="A40" s="60" t="s">
        <v>54</v>
      </c>
      <c r="B40" s="6"/>
      <c r="C40" s="6" t="s">
        <v>182</v>
      </c>
      <c r="D40" s="6" t="s">
        <v>150</v>
      </c>
      <c r="E40" s="6">
        <v>10.199999999999999</v>
      </c>
      <c r="F40" s="6">
        <v>9.3000000000000007</v>
      </c>
      <c r="G40" s="6">
        <v>40</v>
      </c>
      <c r="H40" s="6">
        <v>32</v>
      </c>
      <c r="I40" s="6">
        <v>35</v>
      </c>
      <c r="J40" s="6">
        <v>0.05</v>
      </c>
    </row>
    <row r="41" spans="1:10" ht="15" thickBot="1" x14ac:dyDescent="0.4">
      <c r="A41" s="60" t="s">
        <v>54</v>
      </c>
      <c r="B41" s="6"/>
      <c r="C41" s="6" t="s">
        <v>183</v>
      </c>
      <c r="D41" s="6" t="s">
        <v>151</v>
      </c>
      <c r="E41" s="6">
        <v>8.3000000000000007</v>
      </c>
      <c r="F41" s="6">
        <v>7.5</v>
      </c>
      <c r="G41" s="6">
        <v>39</v>
      </c>
      <c r="H41" s="6">
        <v>32</v>
      </c>
      <c r="I41" s="6">
        <v>27</v>
      </c>
      <c r="J41" s="6">
        <v>0.04</v>
      </c>
    </row>
    <row r="42" spans="1:10" ht="15" thickBot="1" x14ac:dyDescent="0.4">
      <c r="A42" s="60" t="s">
        <v>54</v>
      </c>
      <c r="B42" s="6"/>
      <c r="C42" s="6" t="s">
        <v>56</v>
      </c>
      <c r="D42" s="6" t="s">
        <v>152</v>
      </c>
      <c r="E42" s="6">
        <v>10.199999999999999</v>
      </c>
      <c r="F42" s="6">
        <v>9.3000000000000007</v>
      </c>
      <c r="G42" s="6">
        <v>40</v>
      </c>
      <c r="H42" s="6">
        <v>32</v>
      </c>
      <c r="I42" s="6">
        <v>35</v>
      </c>
      <c r="J42" s="6">
        <v>0.05</v>
      </c>
    </row>
    <row r="43" spans="1:10" ht="15" thickBot="1" x14ac:dyDescent="0.4">
      <c r="A43" s="16" t="s">
        <v>59</v>
      </c>
      <c r="B43" s="56" t="s">
        <v>55</v>
      </c>
      <c r="C43" s="6" t="s">
        <v>18</v>
      </c>
      <c r="D43" s="56" t="s">
        <v>18</v>
      </c>
      <c r="E43" s="42">
        <v>13.5</v>
      </c>
      <c r="F43" s="42">
        <v>12.4</v>
      </c>
      <c r="G43" s="42">
        <v>47.5</v>
      </c>
      <c r="H43" s="42">
        <v>44.3</v>
      </c>
      <c r="I43" s="42">
        <v>32.5</v>
      </c>
      <c r="J43" s="57">
        <v>7.0000000000000007E-2</v>
      </c>
    </row>
    <row r="44" spans="1:10" ht="15" thickBot="1" x14ac:dyDescent="0.4">
      <c r="A44" s="62" t="s">
        <v>60</v>
      </c>
      <c r="B44" s="3" t="s">
        <v>61</v>
      </c>
      <c r="C44" s="1" t="s">
        <v>62</v>
      </c>
      <c r="D44" s="3" t="s">
        <v>153</v>
      </c>
      <c r="E44" s="35">
        <v>9.6</v>
      </c>
      <c r="F44" s="35">
        <v>8.85</v>
      </c>
      <c r="G44" s="35">
        <v>31.5</v>
      </c>
      <c r="H44" s="35">
        <v>27.5</v>
      </c>
      <c r="I44" s="35">
        <v>45</v>
      </c>
      <c r="J44" s="36">
        <v>0.04</v>
      </c>
    </row>
    <row r="45" spans="1:10" ht="15" thickBot="1" x14ac:dyDescent="0.4">
      <c r="A45" s="62" t="s">
        <v>60</v>
      </c>
      <c r="B45" s="3"/>
      <c r="C45" s="1" t="s">
        <v>184</v>
      </c>
      <c r="D45" s="3" t="s">
        <v>154</v>
      </c>
      <c r="E45" s="35">
        <v>0</v>
      </c>
      <c r="F45" s="35">
        <v>0</v>
      </c>
      <c r="G45" s="35">
        <v>0</v>
      </c>
      <c r="H45" s="35">
        <v>0</v>
      </c>
      <c r="I45" s="35">
        <v>0</v>
      </c>
      <c r="J45" s="46">
        <v>0</v>
      </c>
    </row>
    <row r="46" spans="1:10" ht="15" thickBot="1" x14ac:dyDescent="0.4">
      <c r="A46" s="62" t="s">
        <v>60</v>
      </c>
      <c r="B46" s="3"/>
      <c r="C46" s="1" t="s">
        <v>18</v>
      </c>
      <c r="D46" s="3" t="s">
        <v>155</v>
      </c>
      <c r="E46" s="35">
        <v>10.5</v>
      </c>
      <c r="F46" s="35">
        <v>9.5</v>
      </c>
      <c r="G46" s="35">
        <v>39.5</v>
      </c>
      <c r="H46" s="35">
        <v>27</v>
      </c>
      <c r="I46" s="35">
        <v>42.5</v>
      </c>
      <c r="J46" s="46">
        <v>0.05</v>
      </c>
    </row>
    <row r="47" spans="1:10" ht="29.5" thickBot="1" x14ac:dyDescent="0.4">
      <c r="A47" s="16" t="s">
        <v>63</v>
      </c>
      <c r="B47" s="3" t="s">
        <v>64</v>
      </c>
      <c r="C47" s="1" t="s">
        <v>73</v>
      </c>
      <c r="D47" s="3" t="s">
        <v>13</v>
      </c>
      <c r="E47" s="35">
        <v>12.31</v>
      </c>
      <c r="F47" s="35">
        <v>12</v>
      </c>
      <c r="G47" s="35">
        <v>36</v>
      </c>
      <c r="H47" s="35">
        <v>35.5</v>
      </c>
      <c r="I47" s="35">
        <v>27.5</v>
      </c>
      <c r="J47" s="46">
        <f t="shared" ref="J47" si="1">G47*H47*I47/1000000</f>
        <v>3.5145000000000003E-2</v>
      </c>
    </row>
    <row r="48" spans="1:10" ht="87.5" thickBot="1" x14ac:dyDescent="0.4">
      <c r="A48" s="16" t="s">
        <v>65</v>
      </c>
      <c r="B48" s="7" t="s">
        <v>66</v>
      </c>
      <c r="C48" s="69" t="s">
        <v>185</v>
      </c>
      <c r="D48" s="3" t="s">
        <v>67</v>
      </c>
      <c r="E48" s="35">
        <v>9.57</v>
      </c>
      <c r="F48" s="35">
        <v>8.57</v>
      </c>
      <c r="G48" s="35">
        <v>48.5</v>
      </c>
      <c r="H48" s="35">
        <v>32.5</v>
      </c>
      <c r="I48" s="35">
        <v>29</v>
      </c>
      <c r="J48" s="36">
        <f>(G48*H48*I48)/1000000</f>
        <v>4.5711250000000002E-2</v>
      </c>
    </row>
    <row r="49" spans="1:10" ht="15" thickBot="1" x14ac:dyDescent="0.4">
      <c r="A49" s="16" t="s">
        <v>68</v>
      </c>
      <c r="B49" s="3" t="s">
        <v>69</v>
      </c>
      <c r="C49" s="69" t="s">
        <v>62</v>
      </c>
      <c r="D49" s="7" t="s">
        <v>70</v>
      </c>
      <c r="E49" s="35">
        <v>12</v>
      </c>
      <c r="F49" s="35">
        <v>10</v>
      </c>
      <c r="G49" s="35">
        <v>32.4</v>
      </c>
      <c r="H49" s="35">
        <v>15</v>
      </c>
      <c r="I49" s="35">
        <v>32</v>
      </c>
      <c r="J49" s="36">
        <v>1.6E-2</v>
      </c>
    </row>
    <row r="50" spans="1:10" ht="15" thickBot="1" x14ac:dyDescent="0.4">
      <c r="A50" s="19" t="s">
        <v>71</v>
      </c>
      <c r="B50" s="8" t="s">
        <v>72</v>
      </c>
      <c r="C50" s="8" t="s">
        <v>73</v>
      </c>
      <c r="D50" s="28" t="s">
        <v>73</v>
      </c>
      <c r="E50" s="47">
        <v>15</v>
      </c>
      <c r="F50" s="47">
        <v>14.15</v>
      </c>
      <c r="G50" s="47">
        <v>41</v>
      </c>
      <c r="H50" s="47">
        <v>30</v>
      </c>
      <c r="I50" s="47">
        <v>45.5</v>
      </c>
      <c r="J50" s="48">
        <v>5.5E-2</v>
      </c>
    </row>
    <row r="51" spans="1:10" ht="15" thickBot="1" x14ac:dyDescent="0.4">
      <c r="A51" s="62" t="s">
        <v>74</v>
      </c>
      <c r="B51" s="9" t="s">
        <v>75</v>
      </c>
      <c r="C51" s="68" t="s">
        <v>18</v>
      </c>
      <c r="D51" s="58" t="s">
        <v>156</v>
      </c>
      <c r="E51" s="47">
        <v>12.6</v>
      </c>
      <c r="F51" s="47">
        <v>11.1</v>
      </c>
      <c r="G51" s="47">
        <v>39.5</v>
      </c>
      <c r="H51" s="47">
        <v>38.5</v>
      </c>
      <c r="I51" s="47">
        <v>54.5</v>
      </c>
      <c r="J51" s="48">
        <v>0.09</v>
      </c>
    </row>
    <row r="52" spans="1:10" ht="15" thickBot="1" x14ac:dyDescent="0.4">
      <c r="A52" s="63"/>
      <c r="B52" s="9"/>
      <c r="C52" s="68" t="s">
        <v>85</v>
      </c>
      <c r="D52" s="58" t="s">
        <v>157</v>
      </c>
      <c r="E52" s="47">
        <v>25.3</v>
      </c>
      <c r="F52" s="47">
        <v>22.4</v>
      </c>
      <c r="G52" s="47">
        <v>57</v>
      </c>
      <c r="H52" s="47">
        <v>53</v>
      </c>
      <c r="I52" s="47">
        <v>55</v>
      </c>
      <c r="J52" s="48">
        <v>0.17</v>
      </c>
    </row>
    <row r="53" spans="1:10" ht="15" thickBot="1" x14ac:dyDescent="0.4">
      <c r="A53" s="64"/>
      <c r="B53" s="9"/>
      <c r="C53" s="68" t="s">
        <v>171</v>
      </c>
      <c r="D53" s="58" t="s">
        <v>158</v>
      </c>
      <c r="E53" s="47">
        <v>8</v>
      </c>
      <c r="F53" s="47">
        <v>7.5</v>
      </c>
      <c r="G53" s="47">
        <v>45</v>
      </c>
      <c r="H53" s="47">
        <v>37</v>
      </c>
      <c r="I53" s="47">
        <v>28</v>
      </c>
      <c r="J53" s="48">
        <v>0.05</v>
      </c>
    </row>
    <row r="54" spans="1:10" ht="14" customHeight="1" x14ac:dyDescent="0.35">
      <c r="A54" s="66" t="s">
        <v>76</v>
      </c>
      <c r="B54" s="71" t="s">
        <v>77</v>
      </c>
      <c r="C54" s="68" t="s">
        <v>73</v>
      </c>
      <c r="D54" s="30" t="s">
        <v>73</v>
      </c>
      <c r="E54" s="49">
        <v>24</v>
      </c>
      <c r="F54" s="49">
        <v>23</v>
      </c>
      <c r="G54" s="37">
        <v>51.5</v>
      </c>
      <c r="H54" s="37">
        <v>33.5</v>
      </c>
      <c r="I54" s="37">
        <v>60</v>
      </c>
      <c r="J54" s="50">
        <v>0.104</v>
      </c>
    </row>
    <row r="55" spans="1:10" ht="15" thickBot="1" x14ac:dyDescent="0.4">
      <c r="A55" s="67"/>
      <c r="B55" s="73"/>
      <c r="C55" s="6" t="s">
        <v>73</v>
      </c>
      <c r="D55" s="25" t="s">
        <v>73</v>
      </c>
      <c r="E55" s="40">
        <v>24.2</v>
      </c>
      <c r="F55" s="40">
        <v>22.5</v>
      </c>
      <c r="G55" s="40">
        <v>54</v>
      </c>
      <c r="H55" s="40">
        <v>44</v>
      </c>
      <c r="I55" s="40">
        <v>34</v>
      </c>
      <c r="J55" s="41">
        <v>8.0783999999999995E-2</v>
      </c>
    </row>
    <row r="56" spans="1:10" x14ac:dyDescent="0.35">
      <c r="A56" s="60" t="s">
        <v>78</v>
      </c>
      <c r="B56" s="71" t="s">
        <v>79</v>
      </c>
      <c r="C56" s="8" t="s">
        <v>73</v>
      </c>
      <c r="D56" s="23" t="s">
        <v>73</v>
      </c>
      <c r="E56" s="37">
        <v>20</v>
      </c>
      <c r="F56" s="37">
        <v>19</v>
      </c>
      <c r="G56" s="37">
        <v>42.5</v>
      </c>
      <c r="H56" s="37">
        <v>32</v>
      </c>
      <c r="I56" s="37">
        <v>49</v>
      </c>
      <c r="J56" s="50">
        <v>6.6640000000000005E-2</v>
      </c>
    </row>
    <row r="57" spans="1:10" x14ac:dyDescent="0.35">
      <c r="A57" s="59"/>
      <c r="B57" s="72"/>
      <c r="C57" s="10" t="s">
        <v>73</v>
      </c>
      <c r="D57" s="29" t="s">
        <v>73</v>
      </c>
      <c r="E57" s="38">
        <v>26.8</v>
      </c>
      <c r="F57" s="38">
        <v>25.8</v>
      </c>
      <c r="G57" s="38">
        <v>46.5</v>
      </c>
      <c r="H57" s="38">
        <v>36.5</v>
      </c>
      <c r="I57" s="38">
        <v>55</v>
      </c>
      <c r="J57" s="39">
        <v>9.4E-2</v>
      </c>
    </row>
    <row r="58" spans="1:10" x14ac:dyDescent="0.35">
      <c r="A58" s="20" t="s">
        <v>80</v>
      </c>
      <c r="B58" s="10" t="s">
        <v>81</v>
      </c>
      <c r="C58" s="10" t="s">
        <v>18</v>
      </c>
      <c r="D58" s="30" t="s">
        <v>18</v>
      </c>
      <c r="E58" s="51"/>
      <c r="F58" s="51"/>
      <c r="G58" s="51"/>
      <c r="H58" s="51"/>
      <c r="I58" s="51"/>
      <c r="J58" s="52"/>
    </row>
    <row r="59" spans="1:10" x14ac:dyDescent="0.35">
      <c r="A59" s="65" t="s">
        <v>82</v>
      </c>
      <c r="B59" s="10" t="s">
        <v>83</v>
      </c>
      <c r="C59" s="10" t="s">
        <v>18</v>
      </c>
      <c r="D59" s="30" t="s">
        <v>18</v>
      </c>
      <c r="E59" s="51">
        <v>29.4</v>
      </c>
      <c r="F59" s="51">
        <v>28</v>
      </c>
      <c r="G59" s="51">
        <v>45</v>
      </c>
      <c r="H59" s="51">
        <v>41</v>
      </c>
      <c r="I59" s="51">
        <v>54</v>
      </c>
      <c r="J59" s="52">
        <v>9.9629999999999996E-2</v>
      </c>
    </row>
    <row r="60" spans="1:10" ht="15" thickBot="1" x14ac:dyDescent="0.4">
      <c r="A60" s="61"/>
      <c r="B60" s="5" t="s">
        <v>84</v>
      </c>
      <c r="C60" s="5" t="s">
        <v>85</v>
      </c>
      <c r="D60" s="31" t="s">
        <v>85</v>
      </c>
      <c r="E60" s="40">
        <v>27</v>
      </c>
      <c r="F60" s="40">
        <v>25.3</v>
      </c>
      <c r="G60" s="40">
        <v>61.5</v>
      </c>
      <c r="H60" s="40">
        <v>46</v>
      </c>
      <c r="I60" s="40">
        <v>35</v>
      </c>
      <c r="J60" s="41">
        <v>9.9015000000000006E-2</v>
      </c>
    </row>
    <row r="61" spans="1:10" ht="15" thickBot="1" x14ac:dyDescent="0.4">
      <c r="A61" s="15" t="s">
        <v>86</v>
      </c>
      <c r="B61" s="1" t="s">
        <v>87</v>
      </c>
      <c r="C61" s="1" t="s">
        <v>73</v>
      </c>
      <c r="D61" s="3" t="s">
        <v>73</v>
      </c>
      <c r="E61" s="35">
        <v>7</v>
      </c>
      <c r="F61" s="35">
        <v>6</v>
      </c>
      <c r="G61" s="35">
        <v>29</v>
      </c>
      <c r="H61" s="35">
        <v>24.5</v>
      </c>
      <c r="I61" s="35">
        <v>16</v>
      </c>
      <c r="J61" s="36">
        <v>1.1368E-2</v>
      </c>
    </row>
    <row r="62" spans="1:10" ht="15" thickBot="1" x14ac:dyDescent="0.4">
      <c r="A62" s="15" t="s">
        <v>88</v>
      </c>
      <c r="B62" s="1" t="s">
        <v>89</v>
      </c>
      <c r="C62" s="1" t="s">
        <v>186</v>
      </c>
      <c r="D62" s="3" t="s">
        <v>90</v>
      </c>
      <c r="E62" s="35">
        <v>5.2</v>
      </c>
      <c r="F62" s="35">
        <v>4.9000000000000004</v>
      </c>
      <c r="G62" s="35">
        <v>28</v>
      </c>
      <c r="H62" s="35">
        <v>25</v>
      </c>
      <c r="I62" s="35">
        <v>48</v>
      </c>
      <c r="J62" s="36">
        <v>3.3000000000000002E-2</v>
      </c>
    </row>
    <row r="63" spans="1:10" ht="15" thickBot="1" x14ac:dyDescent="0.4">
      <c r="A63" s="15" t="s">
        <v>91</v>
      </c>
      <c r="B63" s="1" t="s">
        <v>92</v>
      </c>
      <c r="C63" s="1" t="s">
        <v>187</v>
      </c>
      <c r="D63" s="3" t="s">
        <v>93</v>
      </c>
      <c r="E63" s="35">
        <v>4.8</v>
      </c>
      <c r="F63" s="35">
        <v>6</v>
      </c>
      <c r="G63" s="35">
        <v>37.6</v>
      </c>
      <c r="H63" s="35">
        <v>37.6</v>
      </c>
      <c r="I63" s="35">
        <v>25.2</v>
      </c>
      <c r="J63" s="36">
        <v>3.5999999999999997E-2</v>
      </c>
    </row>
    <row r="64" spans="1:10" ht="15" thickBot="1" x14ac:dyDescent="0.4">
      <c r="A64" s="15" t="s">
        <v>94</v>
      </c>
      <c r="B64" s="1" t="s">
        <v>95</v>
      </c>
      <c r="C64" s="1" t="s">
        <v>96</v>
      </c>
      <c r="D64" s="3" t="s">
        <v>96</v>
      </c>
      <c r="E64" s="35">
        <v>11</v>
      </c>
      <c r="F64" s="35">
        <v>10</v>
      </c>
      <c r="G64" s="35">
        <v>41.5</v>
      </c>
      <c r="H64" s="35">
        <v>27.5</v>
      </c>
      <c r="I64" s="35">
        <v>21</v>
      </c>
      <c r="J64" s="36">
        <v>2.3966250000000001E-2</v>
      </c>
    </row>
    <row r="65" spans="1:10" ht="15" thickBot="1" x14ac:dyDescent="0.4">
      <c r="A65" s="15" t="s">
        <v>97</v>
      </c>
      <c r="B65" s="1" t="s">
        <v>98</v>
      </c>
      <c r="C65" s="1" t="s">
        <v>18</v>
      </c>
      <c r="D65" s="3" t="s">
        <v>18</v>
      </c>
      <c r="E65" s="35">
        <v>15</v>
      </c>
      <c r="F65" s="35">
        <v>14</v>
      </c>
      <c r="G65" s="35">
        <v>63</v>
      </c>
      <c r="H65" s="35">
        <v>32</v>
      </c>
      <c r="I65" s="35">
        <v>41</v>
      </c>
      <c r="J65" s="36">
        <f>G65*H65*I65/1000000</f>
        <v>8.2655999999999993E-2</v>
      </c>
    </row>
    <row r="66" spans="1:10" ht="29.5" thickBot="1" x14ac:dyDescent="0.4">
      <c r="A66" s="16" t="s">
        <v>99</v>
      </c>
      <c r="B66" s="3" t="s">
        <v>100</v>
      </c>
      <c r="C66" s="1" t="s">
        <v>101</v>
      </c>
      <c r="D66" s="3" t="s">
        <v>101</v>
      </c>
      <c r="E66" s="35">
        <v>10.5</v>
      </c>
      <c r="F66" s="35">
        <v>9.6999999999999993</v>
      </c>
      <c r="G66" s="3">
        <v>37.5</v>
      </c>
      <c r="H66" s="3">
        <v>30.5</v>
      </c>
      <c r="I66" s="3">
        <v>46</v>
      </c>
      <c r="J66" s="53">
        <v>5.2999999999999999E-2</v>
      </c>
    </row>
    <row r="67" spans="1:10" ht="15" thickBot="1" x14ac:dyDescent="0.4">
      <c r="A67" s="15" t="s">
        <v>102</v>
      </c>
      <c r="B67" s="1" t="s">
        <v>103</v>
      </c>
      <c r="C67" s="1" t="s">
        <v>104</v>
      </c>
      <c r="D67" s="3" t="s">
        <v>104</v>
      </c>
      <c r="E67" s="35">
        <v>6.5</v>
      </c>
      <c r="F67" s="35">
        <v>5</v>
      </c>
      <c r="G67" s="35">
        <v>33.5</v>
      </c>
      <c r="H67" s="35">
        <v>29</v>
      </c>
      <c r="I67" s="35">
        <v>32</v>
      </c>
      <c r="J67" s="36">
        <f t="shared" ref="J67" si="2">+G67*H67*I67/1000000</f>
        <v>3.1088000000000001E-2</v>
      </c>
    </row>
    <row r="68" spans="1:10" ht="29.5" thickBot="1" x14ac:dyDescent="0.4">
      <c r="A68" s="15" t="s">
        <v>105</v>
      </c>
      <c r="B68" s="1" t="s">
        <v>106</v>
      </c>
      <c r="C68" s="1" t="s">
        <v>62</v>
      </c>
      <c r="D68" s="3" t="s">
        <v>62</v>
      </c>
      <c r="E68" s="35">
        <v>10.72</v>
      </c>
      <c r="F68" s="35">
        <v>9.7200000000000006</v>
      </c>
      <c r="G68" s="35">
        <v>28</v>
      </c>
      <c r="H68" s="35">
        <v>28</v>
      </c>
      <c r="I68" s="35">
        <v>34.5</v>
      </c>
      <c r="J68" s="35">
        <v>2.7047999999999999E-2</v>
      </c>
    </row>
    <row r="69" spans="1:10" ht="29.5" thickBot="1" x14ac:dyDescent="0.4">
      <c r="A69" s="16" t="s">
        <v>107</v>
      </c>
      <c r="B69" s="11" t="s">
        <v>108</v>
      </c>
      <c r="C69" s="70" t="s">
        <v>62</v>
      </c>
      <c r="D69" s="3" t="s">
        <v>62</v>
      </c>
      <c r="E69" s="35">
        <v>11.4</v>
      </c>
      <c r="F69" s="35">
        <v>11</v>
      </c>
      <c r="G69" s="35">
        <v>37.5</v>
      </c>
      <c r="H69" s="35">
        <v>28.2</v>
      </c>
      <c r="I69" s="35">
        <v>34.799999999999997</v>
      </c>
      <c r="J69" s="36">
        <f t="shared" ref="J69" si="3">+G69*H69*I69/1000000</f>
        <v>3.6801E-2</v>
      </c>
    </row>
    <row r="70" spans="1:10" ht="29.5" thickBot="1" x14ac:dyDescent="0.4">
      <c r="A70" s="16" t="s">
        <v>109</v>
      </c>
      <c r="B70" s="3" t="s">
        <v>110</v>
      </c>
      <c r="C70" s="1" t="s">
        <v>111</v>
      </c>
      <c r="D70" s="3" t="s">
        <v>111</v>
      </c>
      <c r="E70" s="35">
        <v>12.75</v>
      </c>
      <c r="F70" s="35">
        <v>11.2</v>
      </c>
      <c r="G70" s="35">
        <v>37.5</v>
      </c>
      <c r="H70" s="35">
        <v>28.2</v>
      </c>
      <c r="I70" s="35">
        <v>34.799999999999997</v>
      </c>
      <c r="J70" s="36">
        <v>3.6801E-2</v>
      </c>
    </row>
    <row r="71" spans="1:10" ht="29.5" thickBot="1" x14ac:dyDescent="0.4">
      <c r="A71" s="16" t="s">
        <v>112</v>
      </c>
      <c r="B71" s="3" t="s">
        <v>113</v>
      </c>
      <c r="C71" s="1" t="s">
        <v>62</v>
      </c>
      <c r="D71" s="3" t="s">
        <v>70</v>
      </c>
      <c r="E71" s="35">
        <v>13</v>
      </c>
      <c r="F71" s="35">
        <v>11</v>
      </c>
      <c r="G71" s="35">
        <v>35</v>
      </c>
      <c r="H71" s="35">
        <v>22</v>
      </c>
      <c r="I71" s="35">
        <v>39</v>
      </c>
      <c r="J71" s="35">
        <v>0.03</v>
      </c>
    </row>
    <row r="72" spans="1:10" ht="44" thickBot="1" x14ac:dyDescent="0.4">
      <c r="A72" s="16" t="s">
        <v>114</v>
      </c>
      <c r="B72" s="3" t="s">
        <v>115</v>
      </c>
      <c r="C72" s="1" t="s">
        <v>62</v>
      </c>
      <c r="D72" s="3" t="s">
        <v>70</v>
      </c>
      <c r="E72" s="35">
        <v>10.46</v>
      </c>
      <c r="F72" s="35">
        <v>8.4</v>
      </c>
      <c r="G72" s="54">
        <v>28.4</v>
      </c>
      <c r="H72" s="54">
        <v>31.6</v>
      </c>
      <c r="I72" s="55">
        <v>30</v>
      </c>
      <c r="J72" s="36">
        <v>2.7E-2</v>
      </c>
    </row>
    <row r="73" spans="1:10" ht="29.5" thickBot="1" x14ac:dyDescent="0.4">
      <c r="A73" s="15" t="s">
        <v>116</v>
      </c>
      <c r="B73" s="1" t="s">
        <v>117</v>
      </c>
      <c r="C73" s="1" t="s">
        <v>118</v>
      </c>
      <c r="D73" s="3" t="s">
        <v>118</v>
      </c>
      <c r="E73" s="35">
        <v>11.5</v>
      </c>
      <c r="F73" s="35">
        <v>10.5</v>
      </c>
      <c r="G73" s="35">
        <v>63</v>
      </c>
      <c r="H73" s="35">
        <v>54.5</v>
      </c>
      <c r="I73" s="35">
        <v>28.5</v>
      </c>
      <c r="J73" s="35">
        <f t="shared" ref="J73:J74" si="4">G73*H73*I73/1000000</f>
        <v>9.7854750000000004E-2</v>
      </c>
    </row>
    <row r="74" spans="1:10" ht="15" thickBot="1" x14ac:dyDescent="0.4">
      <c r="A74" s="15" t="s">
        <v>119</v>
      </c>
      <c r="B74" s="1" t="s">
        <v>120</v>
      </c>
      <c r="C74" s="1" t="s">
        <v>121</v>
      </c>
      <c r="D74" s="3" t="s">
        <v>121</v>
      </c>
      <c r="E74" s="35">
        <v>14</v>
      </c>
      <c r="F74" s="35">
        <v>13.1</v>
      </c>
      <c r="G74" s="35">
        <v>52.5</v>
      </c>
      <c r="H74" s="35">
        <v>52.5</v>
      </c>
      <c r="I74" s="35">
        <v>29</v>
      </c>
      <c r="J74" s="35">
        <f t="shared" si="4"/>
        <v>7.9931249999999995E-2</v>
      </c>
    </row>
    <row r="75" spans="1:10" ht="29.5" thickBot="1" x14ac:dyDescent="0.4">
      <c r="A75" s="16" t="s">
        <v>122</v>
      </c>
      <c r="B75" s="3" t="s">
        <v>123</v>
      </c>
      <c r="C75" s="1" t="s">
        <v>124</v>
      </c>
      <c r="D75" s="3" t="s">
        <v>124</v>
      </c>
      <c r="E75" s="35">
        <v>9.65</v>
      </c>
      <c r="F75" s="35">
        <v>9</v>
      </c>
      <c r="G75" s="35"/>
      <c r="H75" s="35"/>
      <c r="I75" s="35"/>
      <c r="J75" s="36">
        <v>2.8000000000000001E-2</v>
      </c>
    </row>
    <row r="76" spans="1:10" ht="29.5" thickBot="1" x14ac:dyDescent="0.4">
      <c r="A76" s="16" t="s">
        <v>125</v>
      </c>
      <c r="B76" s="11" t="s">
        <v>123</v>
      </c>
      <c r="C76" s="70">
        <v>4</v>
      </c>
      <c r="D76" s="3">
        <v>4</v>
      </c>
      <c r="E76" s="35">
        <v>12.8</v>
      </c>
      <c r="F76" s="35">
        <v>12</v>
      </c>
      <c r="G76" s="35"/>
      <c r="H76" s="35"/>
      <c r="I76" s="35"/>
      <c r="J76" s="36">
        <v>6.2E-2</v>
      </c>
    </row>
  </sheetData>
  <autoFilter ref="A1:J76" xr:uid="{00000000-0001-0000-0000-000000000000}"/>
  <mergeCells count="2">
    <mergeCell ref="B56:B57"/>
    <mergeCell ref="B54:B55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Mind Assets Analytics MAA0001</dc:creator>
  <cp:lastModifiedBy>Mind Assets Analytics MAA0001</cp:lastModifiedBy>
  <dcterms:created xsi:type="dcterms:W3CDTF">2015-06-05T18:17:20Z</dcterms:created>
  <dcterms:modified xsi:type="dcterms:W3CDTF">2026-01-02T10:03:28Z</dcterms:modified>
</cp:coreProperties>
</file>